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ONTABILIDADE HIKARI CUSTOS\auxiliar\"/>
    </mc:Choice>
  </mc:AlternateContent>
  <bookViews>
    <workbookView xWindow="0" yWindow="0" windowWidth="9660" windowHeight="5490" activeTab="1"/>
  </bookViews>
  <sheets>
    <sheet name="Fornecedores" sheetId="2" r:id="rId1"/>
    <sheet name="Lançamentos" sheetId="1" r:id="rId2"/>
  </sheets>
  <definedNames>
    <definedName name="_xlnm._FilterDatabase" localSheetId="1" hidden="1">Lançamentos!$A$5:$N$707</definedName>
  </definedNames>
  <calcPr calcId="152511"/>
</workbook>
</file>

<file path=xl/calcChain.xml><?xml version="1.0" encoding="utf-8"?>
<calcChain xmlns="http://schemas.openxmlformats.org/spreadsheetml/2006/main">
  <c r="N320" i="1" l="1"/>
  <c r="N319" i="1"/>
  <c r="N314" i="1"/>
  <c r="N299" i="1"/>
  <c r="N24" i="1" l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5" i="1"/>
  <c r="N316" i="1"/>
  <c r="N317" i="1"/>
  <c r="N318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6" i="1"/>
</calcChain>
</file>

<file path=xl/sharedStrings.xml><?xml version="1.0" encoding="utf-8"?>
<sst xmlns="http://schemas.openxmlformats.org/spreadsheetml/2006/main" count="1468" uniqueCount="760">
  <si>
    <t>Histórico</t>
  </si>
  <si>
    <t>Data</t>
  </si>
  <si>
    <t>Débito-Crédito</t>
  </si>
  <si>
    <t>Valor</t>
  </si>
  <si>
    <t>Crédito</t>
  </si>
  <si>
    <t>Débito</t>
  </si>
  <si>
    <t>DEVOLUÇÃO DE COMPRAS</t>
  </si>
  <si>
    <t>COMPRAS DE MERCADORIAS NESTA DATA</t>
  </si>
  <si>
    <t>FORNECEDOR PARA NOTAS CANCELADAS</t>
  </si>
  <si>
    <t>FORNECEDOR MODELO</t>
  </si>
  <si>
    <t>MUNDO DOS FERROS DIST. DE FERROS E ACO LTDA</t>
  </si>
  <si>
    <t>Nova Era Mineracao Ltda</t>
  </si>
  <si>
    <t>COMERCIAL INSTALADORA JODE LTDA- EPP -63-3215-1155</t>
  </si>
  <si>
    <t>ENCANEL COM. DE MAT. DE CONST. LTDA</t>
  </si>
  <si>
    <t>RENACOR COM. DE TINTAS LTDA (TAQUARALTO)</t>
  </si>
  <si>
    <t>HILTON GANDRA DE ARRUDA E FILHOS LTDA - EPP</t>
  </si>
  <si>
    <t>ANTONIO PEREIRA MARTINS NETO EPP</t>
  </si>
  <si>
    <t>FERPAM COM. DE FERRAMENTAS PARAFUSOS E MAQUINAS LTDA</t>
  </si>
  <si>
    <t>FERROTEC DISTRIBUIDORA DE FERRO E ACO LTDA.</t>
  </si>
  <si>
    <t>MINAS GERAIS COMERCIO DE MADEIRAS LTDA</t>
  </si>
  <si>
    <t>RASPADORA BRASIL LTDA ME</t>
  </si>
  <si>
    <t>FL RODRIGUES E CIA LTDA</t>
  </si>
  <si>
    <t>TOCANTINS COMERCIO DE MADEIRAS LTDA</t>
  </si>
  <si>
    <t>ENGSIK IMPERMEABILIZACOES EIRELI - EPP</t>
  </si>
  <si>
    <t>M. C. COM. ATAC. DE MAT. DE CONST LTDA 3215-3346</t>
  </si>
  <si>
    <t>W. J . COMERCIO DE EMBALAGENS LTDA - ME</t>
  </si>
  <si>
    <t>MULTICORES PAPELARIA LTDA - EPP</t>
  </si>
  <si>
    <t>PALMAS COM. DE DIVISORIAS LTDA ME</t>
  </si>
  <si>
    <t>VALADARES COMERCIAL LTDA-EPP</t>
  </si>
  <si>
    <t>CASA DO FAXINEIRO LTDA - ME</t>
  </si>
  <si>
    <t>DISTRIB. DE CAMINHOES PALMAS LTDA-MATRIZ</t>
  </si>
  <si>
    <t>FERRAGENS NEGRAO COM LTDA - TO</t>
  </si>
  <si>
    <t>SANTANA E CASTRO LTDA</t>
  </si>
  <si>
    <t>COLINAS DIST. DE FERRO E ACO LTDA</t>
  </si>
  <si>
    <t>Temper Distribuidora de Vidros Eireli - EPP</t>
  </si>
  <si>
    <t>SINALFER IND COM E SERV DE SINAL E FER EIRELI - ME</t>
  </si>
  <si>
    <t>O BARATEIRO COM DE MATERIAIS DE CONSTRUCAO LTDA</t>
  </si>
  <si>
    <t>VB COMERCIAL - EIRELI - ME</t>
  </si>
  <si>
    <t>GL MOVEIS</t>
  </si>
  <si>
    <t>IRMAOS MEURER LTDA</t>
  </si>
  <si>
    <t>AIRES E CORDEIRO LTDA</t>
  </si>
  <si>
    <t>WOLTEC ENERGIA INST.TEC.LTDA-EPP</t>
  </si>
  <si>
    <t>JVL MAT. ELETRICOS E CONSTRUCOES EIRELI</t>
  </si>
  <si>
    <t>Pec Maq Pec Formas Ind. e Com. Ltda</t>
  </si>
  <si>
    <t>TUDO ELETRICO LTDA</t>
  </si>
  <si>
    <t>PRESTACIONAL COM. E SERV DE PROD. SIDERUGICOS LTDA</t>
  </si>
  <si>
    <t>MASTERACO COMERCIO DE VALVULAS E CONEXOES LTDA EPP</t>
  </si>
  <si>
    <t>DISTRIBUIDORA DE FERROS PALMAS LTDA</t>
  </si>
  <si>
    <t>HIDRAULICA SAO GABRIEL LTDA</t>
  </si>
  <si>
    <t>METALEV PERFIS E COMPONENTES EIRELI-ME</t>
  </si>
  <si>
    <t>DIST. DE FERROS E ACO B-R LTDA</t>
  </si>
  <si>
    <t>ACOTINS COM ATACADISTA DE ACO E FERRO EIRELI</t>
  </si>
  <si>
    <t>SOTENG ENG E COM DE MAT P/ CONST LTDA</t>
  </si>
  <si>
    <t>GERDAU ACOS LONGOS S/A</t>
  </si>
  <si>
    <t>L R CRISOSTOMO EIRELI - ME</t>
  </si>
  <si>
    <t>1 - GS3 DISTRIBUIDORA DE PECAS E ACESS AUTOM LTDA</t>
  </si>
  <si>
    <t>LOCATINS LOC. DE MAQ. E FERR. P/ CONST. LTDA</t>
  </si>
  <si>
    <t>M D DAS NEVES EIRELI ME</t>
  </si>
  <si>
    <t>INVIOLAVEL PALMAS TO. COM. MONIT. ALAR. ELET.LTDA</t>
  </si>
  <si>
    <t>FLASHPOWER MULTIMARCAS COMERCIO DE PECAS E SERV AUT LTDA</t>
  </si>
  <si>
    <t>DE PAULA COM. DE PRODUTOS DE LIMPEZA EIRELI -ME</t>
  </si>
  <si>
    <t>J J Cabral LTDA</t>
  </si>
  <si>
    <t>GMAIS TUBOS E CONEXOES EIRELI - EPP</t>
  </si>
  <si>
    <t>LEOBAS E LEOBAS LTDA</t>
  </si>
  <si>
    <t>WELINGTON ALVES DE CARVALHO E CIA LTDA - ME</t>
  </si>
  <si>
    <t>PEDREIRAS PARAISO LTDA</t>
  </si>
  <si>
    <t>DIVIPLACAS COMERCIO E SERVICOS DE DIVISORIAS LTDA</t>
  </si>
  <si>
    <t>KOKAR INDUSTRIA E COM. DE TINTAS LTDA.</t>
  </si>
  <si>
    <t>F. G. GRICIOLLI</t>
  </si>
  <si>
    <t>NOVA ERA COM. DE MAT. ELETRICOS E CONSTRUCOES EIRELI</t>
  </si>
  <si>
    <t>MADEIREIRA MADFER LTDA -ME</t>
  </si>
  <si>
    <t>J. RIBEIRO</t>
  </si>
  <si>
    <t>AUTO PECAS REIS EIRELI-ME</t>
  </si>
  <si>
    <t>AUTO POSTO DE COMBUSTIVEIS SERRANO LTDA</t>
  </si>
  <si>
    <t>COMPLETA COM. DE ELETROELETRONICOS LTDA - ME</t>
  </si>
  <si>
    <t>COMERCIAL FERRONORTE LTDA - F24 - TO</t>
  </si>
  <si>
    <t>EXITO EXTINTORES LTDA</t>
  </si>
  <si>
    <t>RH  DISTRIBUIDORA  LTDA</t>
  </si>
  <si>
    <t>REVEST REVESTIMENTOS LTDA-ME</t>
  </si>
  <si>
    <t>CASA DE COMIDA E RESTAURANTE LENHA EIRELI</t>
  </si>
  <si>
    <t>63 INDUSTRIA E DISTRIBUICAO LTDA</t>
  </si>
  <si>
    <t>FLEX DISTRIBUIDORA DE IMPERMEABILIZANTES EIRELI ME</t>
  </si>
  <si>
    <t>NORTE PRE-FABRICADOS DE CONCRETO EIRELI</t>
  </si>
  <si>
    <t>ALFREDO FONTINELE DE SOUZA - ME</t>
  </si>
  <si>
    <t>A.M.G.BRASIL ENGENHARIA, AUTOMACAO E COMERCIO LTDA</t>
  </si>
  <si>
    <t>T.T.L SOUZA FILTROS EIRELEME</t>
  </si>
  <si>
    <t>LOJA 4-REFRISOLAR REFRIGERACAO LTDA</t>
  </si>
  <si>
    <t>BARATAO COMERCIO DE MATERIAL PARA CONSTRUCAO LTDA</t>
  </si>
  <si>
    <t>PAPELARIA MODERNA LTDA ME</t>
  </si>
  <si>
    <t>POSTO CENTRAL</t>
  </si>
  <si>
    <t>TOPO SISTEMAS COMERCIO DE SOFTWARE E HARDWARE LTDA</t>
  </si>
  <si>
    <t>BR COMERCIO DE ELETRO E ELETRONICOS EIRELI ME</t>
  </si>
  <si>
    <t>BORGES e BORGES LTDA</t>
  </si>
  <si>
    <t>C A COMERCIO E INSTALACAO LTDA</t>
  </si>
  <si>
    <t>SALENAS CONFECCAO E MATERIAIS PARA ESCRITORIOS EIRELI</t>
  </si>
  <si>
    <t>MATERIAIS DE CONSTRUCAO SILBOR LTDA ME</t>
  </si>
  <si>
    <t>METALURGICA DO NORTE LTDA - EPP</t>
  </si>
  <si>
    <t>TOCANTINS IND. E COM. DE PRODUTOS SIDERURGICOS LTDA</t>
  </si>
  <si>
    <t>Rolim Comércio e Serv Especializados Em Const Civil Ltda</t>
  </si>
  <si>
    <t>SILVIO CARVALHO DE ARAUJO-ME</t>
  </si>
  <si>
    <t>CASA SAO PAULO CALCADOS LTDA</t>
  </si>
  <si>
    <t>PISO FORTE COM DE MATERIAL P- CONSTRUCAO LTDA</t>
  </si>
  <si>
    <t>TELEFONICA BRASIL S/A CNPJ 02.558.157/0018-00</t>
  </si>
  <si>
    <t>Rodrigo Bravo - Irmaos LTDA</t>
  </si>
  <si>
    <t>POSTO ELITE EIRELI - ME</t>
  </si>
  <si>
    <t>UNIAO COM. DE PROD. METALURGICOS LTDA - EPP</t>
  </si>
  <si>
    <t>INDUSTRIA DE ARTEFATOS DE CIMENTO  DO NORTE LTDA</t>
  </si>
  <si>
    <t>ALVES E BORGES LTDA</t>
  </si>
  <si>
    <t>SOS COMERCIO, DISTRIBUICAO E SERVICOS DE CHAVES E SEGURANCA</t>
  </si>
  <si>
    <t>FCV INDUSTRIA PLATINENSE DE EXTINTORES LTDA</t>
  </si>
  <si>
    <t>CONDOR ATACADISTA DE MATERIAIS PARA CONSTRUCAO S/A</t>
  </si>
  <si>
    <t>CARANHATO &amp; CARDOSO LTDA - ME</t>
  </si>
  <si>
    <t>G V CAR ACESSORIOS PARA VEICULOS LTDA ME</t>
  </si>
  <si>
    <t>W D DE SOUSA LOPES EIRELI</t>
  </si>
  <si>
    <t>SCHMALFUSS E FREITAS LTDA</t>
  </si>
  <si>
    <t>BRITO E BEZERRA LTDA</t>
  </si>
  <si>
    <t>STHENIO DANTAS ALBUQUERQUE - ME</t>
  </si>
  <si>
    <t>ITR COMERCIO DE PEÇAS Centro ITR 4320</t>
  </si>
  <si>
    <t>M F DISTRIBUIDORA DE FERRO E ACO EIRELI</t>
  </si>
  <si>
    <t>ATACADAO DAS BATERIAS LTDA</t>
  </si>
  <si>
    <t>F. BEZ DISTRIBUIDORA LTDA</t>
  </si>
  <si>
    <t>PNEUS NORTE - COM. DE PNEUS E PECAS EIRELI-FILIAL</t>
  </si>
  <si>
    <t>JAICAR AUTOPECAS LTDA - PALMAS</t>
  </si>
  <si>
    <t>INNOVARE COMERCIO DE MOVEIS EIRELI - ME</t>
  </si>
  <si>
    <t>MARQUES MARQUES LTDA</t>
  </si>
  <si>
    <t>M C BARREIRO E CIA LTDA</t>
  </si>
  <si>
    <t>JEB BATISTA EIRELI LTDA-ME</t>
  </si>
  <si>
    <t>AM TACOGRAFO COM VAREJ PARA VEI AUTOMOTORES LTDA</t>
  </si>
  <si>
    <t>A B NOLETO DE OLIVEIRA EIRELI-ME</t>
  </si>
  <si>
    <t>LOCGO PALMAS LOCADORA DE EQUIPAMENTOS PARA CONSTRUCAO LTDA</t>
  </si>
  <si>
    <t>CARAJAS DIST. DE EMBALAGENS E PROD.DE LIMPEZA LTDA</t>
  </si>
  <si>
    <t>HTM COMERCIO DE FERRAGENS E FERRAMENTAS LTDA</t>
  </si>
  <si>
    <t>CONCRECTA COMERCIO DE FERRAMENTAS DIAMANTADAS LTDA</t>
  </si>
  <si>
    <t>FILIAL ESB IND. E COM. DE ELETRO ELETRONICOS LTDA</t>
  </si>
  <si>
    <t>PONTUAL DISTRIBUIDORA LTDA</t>
  </si>
  <si>
    <t>NOROESTE COMERCIO E INDUSTRIA DE PLASTICOS LTDA</t>
  </si>
  <si>
    <t>CPX DISTRIBUIDORA S.A CPX DISTRIBUIDORA S.A. 4224</t>
  </si>
  <si>
    <t>ORTOMAQ LTDA - EPP</t>
  </si>
  <si>
    <t>Kalunga SA</t>
  </si>
  <si>
    <t>DATAMARS BRASIL TECNOLOGIA AGROPECUARIA LTDA</t>
  </si>
  <si>
    <t>WELDIMA RODRIGUES DE BRITO 01125654171</t>
  </si>
  <si>
    <t>E R SOUSA FILHO LTDA</t>
  </si>
  <si>
    <t>Porto 8 Mineracao Ltda</t>
  </si>
  <si>
    <t>DNL COMERCIO E SERVICOS LTDA</t>
  </si>
  <si>
    <t>MOTIVE COM. DE PECAS E SERV. AUTOMOTIVOS LTDA</t>
  </si>
  <si>
    <t>ECOGOTAS COMERCIO DE PECAS ECOLOGICAS LTDA</t>
  </si>
  <si>
    <t>PALMAS ATACADO DE EMBALAGENS LTDA EPP</t>
  </si>
  <si>
    <t>PONTO FORTE COMERCIO DE MATERIAIS DE CONSTRUCOES EIRELI</t>
  </si>
  <si>
    <t>LUZ LED ILUMINACAO LTDA</t>
  </si>
  <si>
    <t>F B MARACAIPE LTDA - ME</t>
  </si>
  <si>
    <t>NATALYA BRINDES LTDA</t>
  </si>
  <si>
    <t>BRASIL RURAL PRODUTOS AGROPECUARIOS LTDA - EPP</t>
  </si>
  <si>
    <t>PEFINORTE COMERCIO ATACADISTA DE FERRAGENS LTDA</t>
  </si>
  <si>
    <t>MY LEDS ILUMINACAO SENERGAM LTDA - ME</t>
  </si>
  <si>
    <t>TINTAS MC - PALMAS/TO</t>
  </si>
  <si>
    <t>WR MATERIAIS ELETRICOS E CONSTRUCOES</t>
  </si>
  <si>
    <t>NOVA MINERACAO EIRELI</t>
  </si>
  <si>
    <t>FERPAM COMERCIO DE BORRACHAS LTDA</t>
  </si>
  <si>
    <t>SOLO ATACADO LTDA</t>
  </si>
  <si>
    <t>BARROS E GERVASIO LTDA</t>
  </si>
  <si>
    <t>GENYX SOLAR COMERCIO LTDA</t>
  </si>
  <si>
    <t>EMBRAS ILUMINACAO LTDA</t>
  </si>
  <si>
    <t>COSTA E ALMEIDA LTDA</t>
  </si>
  <si>
    <t>CRS ATACADISTA DE MATERIAL DE CONSTRUCAO LTDA</t>
  </si>
  <si>
    <t>REFRIGERACAO DUFRIO COMERCIO E IMPORTACAO S.A.</t>
  </si>
  <si>
    <t>PointCom Informatica LTDA</t>
  </si>
  <si>
    <t>S. A. P - COMERCIO DE PECAS LTDA</t>
  </si>
  <si>
    <t>ARAGUAIA DIST. E IMPORT. DE MATERIAIS PARA CONSTRUCAO LTDA</t>
  </si>
  <si>
    <t>DAIKIN AR CONDICIONADO BRASIL LTDA</t>
  </si>
  <si>
    <t>LIVETECH DA BAHIA INDUSTRIA E COMERCIO S.A</t>
  </si>
  <si>
    <t>J I DOS SANTOS</t>
  </si>
  <si>
    <t>D. M. FERREIRA CONFECCOES</t>
  </si>
  <si>
    <t>M MARTINS MARQUES - CIA LTDA</t>
  </si>
  <si>
    <t>CASA DO FAXINEIRO LTDA.</t>
  </si>
  <si>
    <t>NORTE DISTRIBUIDOR DE MATERIAIS P CONSTRUCAO LTDA</t>
  </si>
  <si>
    <t>THANDARA D M ARANTES</t>
  </si>
  <si>
    <t>BRASIL FERRAGENS Ltda</t>
  </si>
  <si>
    <t>AIRSIDE IND. E COM. DE PROD. PARA CLIMAT. LTDA</t>
  </si>
  <si>
    <t>ART NOBRE INOX EIRELI - ME</t>
  </si>
  <si>
    <t>FERRARA LTDA</t>
  </si>
  <si>
    <t>CONTINENTAL CONSTRUCOES COM DE MAT ELETRICOS LTDA</t>
  </si>
  <si>
    <t>MIRANDA E BARROS LTDA</t>
  </si>
  <si>
    <t>C A B COSTA ME</t>
  </si>
  <si>
    <t>INFORMATICA SUPER REI LTDA</t>
  </si>
  <si>
    <t>PALMAS FERRAGENS E UTILIDADES DO TRABALHADOR LTDA</t>
  </si>
  <si>
    <t>FORTBRAS AUTOPECAS SA - JAICAR14</t>
  </si>
  <si>
    <t>FERRAGISTA GUIMARAES LTDA - ME</t>
  </si>
  <si>
    <t>MADEREIRA SAO SEBASTIAO - EIRELI - ME</t>
  </si>
  <si>
    <t>PROFERRAGENS COM. DE FERRAGENS E FERRAMENTAS LTDA</t>
  </si>
  <si>
    <t>GILDO TABOSA LOPES</t>
  </si>
  <si>
    <t>LUIZ CARLOS PALMA &amp; CIA LTDA</t>
  </si>
  <si>
    <t>WIM COMERCIO DE PRODUTOS E SERVICOS LTDA</t>
  </si>
  <si>
    <t>FERREIRA E FIGUEREDO LTDA</t>
  </si>
  <si>
    <t>INBRAX COMERCIO DE REATORES ELETRICO LTDA</t>
  </si>
  <si>
    <t>ARAUJO NETO &amp; MARINHO LTDA</t>
  </si>
  <si>
    <t>VITORIA MOTO PECAS E VENDA DE MOTOS EIRELI</t>
  </si>
  <si>
    <t>Construpiso Com. de materiais p/ constr. LTDA-EPP</t>
  </si>
  <si>
    <t>INOVAR COMUNICACAO VISUAL LTDA</t>
  </si>
  <si>
    <t>ULISSES DE PARENTE AYRES</t>
  </si>
  <si>
    <t>F B DE SENA</t>
  </si>
  <si>
    <t>MARTELAR COMERCIO DE FERRAMENTAS E MAT. DE CONSTRUCAO LTDA</t>
  </si>
  <si>
    <t>D DA SILVA</t>
  </si>
  <si>
    <t>ANYGRID SOLAR SERVICE LTDA</t>
  </si>
  <si>
    <t>DANTA LUX REPUXACAO E COMERCIO DE LUMINARIAS LTDA</t>
  </si>
  <si>
    <t>ALUMICASA METAIS LTDA - EPP</t>
  </si>
  <si>
    <t>MARQUES E LEOCADIO FERRAMENTAS LTDA - EPP</t>
  </si>
  <si>
    <t>MADEIREIRA MADEFORT EIRELI</t>
  </si>
  <si>
    <t>HOMEFULL INDUSTRIA E COMERCIO DIGITAL LTDA</t>
  </si>
  <si>
    <t>LEVEVIDA EQUIPAMENTOS LTDA - ME</t>
  </si>
  <si>
    <t>CONTRI - LTDA - ME</t>
  </si>
  <si>
    <t>COREEA E COUTINHO COM. DE PROD. AGROP. E ANIM LTDA</t>
  </si>
  <si>
    <t>MMC COM. DE FERRAMENTAS LTDA</t>
  </si>
  <si>
    <t>REMO MATERIAIS DE CONSTRUCAO LTDA</t>
  </si>
  <si>
    <t>SANCHES E SANCHES LTDA</t>
  </si>
  <si>
    <t>LAJES TOCANTINS LTDA</t>
  </si>
  <si>
    <t>BELENUS LTDA</t>
  </si>
  <si>
    <t>MATERIAL DE CONSTRUCAO SILBOR LTDA</t>
  </si>
  <si>
    <t>MG VIDROS AUTOMOTIVOS LTDA</t>
  </si>
  <si>
    <t>MANOEL RIBEIRO NETO</t>
  </si>
  <si>
    <t>R R NEVES &amp; CIA LTDA</t>
  </si>
  <si>
    <t>DISTRIBUIDORA ARAGUAIA FERROS LTDA</t>
  </si>
  <si>
    <t>SENERGAM MY LEDS ATACADISTA DE MATERIAIS ELETRICOS</t>
  </si>
  <si>
    <t>PREMOLDADOS DE CONCRETO GURUPI LTDA</t>
  </si>
  <si>
    <t>A A LARA EIRELI</t>
  </si>
  <si>
    <t>C L LOPES FERRARESSO - EIRELI</t>
  </si>
  <si>
    <t>NEVES &amp; RIBEIRO LTDA</t>
  </si>
  <si>
    <t>J F SOUZA</t>
  </si>
  <si>
    <t>EVOLUTION LED COMERCIO ELETRONICO E MATERIAL ELETRICO LTDA</t>
  </si>
  <si>
    <t>GOIANIA INDUSTRIA E COMERCIO DE TUBOS, VALVULAS E CONEXOES L</t>
  </si>
  <si>
    <t>TERRACO MATERIAIS P/ CONSTRUCAO LTDA</t>
  </si>
  <si>
    <t>KARANGAO AUTOPECAS LTDA</t>
  </si>
  <si>
    <t>ZUM COM DE PECAS AUTOMOTIVAS LTDA</t>
  </si>
  <si>
    <t>BRAZ TINTAS COM. MAT. PARA CONST. LTDA</t>
  </si>
  <si>
    <t>REAL DISTRIBUIDORA DE PRODUTOS AUTOMOTIVOS EIRELI</t>
  </si>
  <si>
    <t>FERNANDO E JAILZA COMERCIO DE UTILIDADES ME</t>
  </si>
  <si>
    <t>JONAS WETMANN LTDA</t>
  </si>
  <si>
    <t>FORTAL COMERCIO DE MADEIRAS- LTDA</t>
  </si>
  <si>
    <t>DIPAL MAQUINAS E EQUIPAMENTOS LTDA</t>
  </si>
  <si>
    <t>MAPIFER ATACADO LTDA</t>
  </si>
  <si>
    <t>TAKAO LTDA</t>
  </si>
  <si>
    <t>CHURRASCARIA INTERLAGOS LTDA-ME</t>
  </si>
  <si>
    <t>MARESSA MARTINS MARQUES EIRELI</t>
  </si>
  <si>
    <t>PAPEL E CIA - PAPELARIA LTDA</t>
  </si>
  <si>
    <t>BIG DISTRIBUIDORA DE MATERIAIS DE CONSTRUCAO LTDA</t>
  </si>
  <si>
    <t>BR DISTRIBUIDORA DE EQUIPAMENTOS DE INF. LTDA</t>
  </si>
  <si>
    <t>BARROS E MILHOMEM LTDA</t>
  </si>
  <si>
    <t>CERAMICA MIRANORTE EIRELI</t>
  </si>
  <si>
    <t>E P SANTOS - ME</t>
  </si>
  <si>
    <t>J A BUENO EIRELI</t>
  </si>
  <si>
    <t>F. ANES DOS SANTOS</t>
  </si>
  <si>
    <t>LOPES E CANCADO LTDA</t>
  </si>
  <si>
    <t>LEANDRO FERREIRA TRAJANO</t>
  </si>
  <si>
    <t>J P DOS SANTOS SILVA</t>
  </si>
  <si>
    <t>Zeus do Brasil Ltda</t>
  </si>
  <si>
    <t>KNAUF ISOPOR LTDA</t>
  </si>
  <si>
    <t>AUTOVIA VEICULOS PECAS E SERVICOS LTDA</t>
  </si>
  <si>
    <t>REAL COMERCIO DE LUBRIFICANTES LTDA</t>
  </si>
  <si>
    <t>REAL LATAS LTDA</t>
  </si>
  <si>
    <t>MAKE COMERCIO DE ILUMINACAO E MATERIAL ELETRICO EIRELI - EPP</t>
  </si>
  <si>
    <t>F. R. DA SILVA EIRELI - ME</t>
  </si>
  <si>
    <t>J. V. FERRO E ACO EIRELI</t>
  </si>
  <si>
    <t>VALDECI DE ARAUJO NUNES</t>
  </si>
  <si>
    <t>I B DE SOUSA</t>
  </si>
  <si>
    <t>CERAMICA NOVA OLINDA LTDA EPP</t>
  </si>
  <si>
    <t>B P BLOCOS E PAVERS LTDA</t>
  </si>
  <si>
    <t>FLEXFORM INDUSTRIA E COMERCIO DE MOVEIS LTDA</t>
  </si>
  <si>
    <t>M2ECOPLAC INDUSTRIA DE MADEIRAS LTDA</t>
  </si>
  <si>
    <t>TOP TELAS LTDA</t>
  </si>
  <si>
    <t>Atex do Brasil Locacao de Equipamentos LTDA</t>
  </si>
  <si>
    <t>AUTO PECAS GOMES EIRELI ME</t>
  </si>
  <si>
    <t>SOUSA E SILVA ARTIGOS DE PAPELARIA EIRELI</t>
  </si>
  <si>
    <t>M R G FEITOSA EIRELLI ME</t>
  </si>
  <si>
    <t>PADRAO COMERCIO DE CARIMBOS EIRELI</t>
  </si>
  <si>
    <t>A F DE FREITAS E CIA LTDAME</t>
  </si>
  <si>
    <t>TECNOMOR INDUSTRIA E COMERCIO LTDA</t>
  </si>
  <si>
    <t>TOCANTINS PERFURACOES DE POCOS LTDA</t>
  </si>
  <si>
    <t>IMPERIO DAS RETROS PECAS E SERVICOS LTDA</t>
  </si>
  <si>
    <t>M J DEVEZA</t>
  </si>
  <si>
    <t>R. RODRIGUES DOS SANTOS - ME</t>
  </si>
  <si>
    <t>GP PNEUS LTDA</t>
  </si>
  <si>
    <t>MIXTINTAO COMERCIO DE TINTAS AUTOMOTIVAS E INDUSTRIAS LTDA</t>
  </si>
  <si>
    <t>ASSISTENCIA TECNICA MULTIMAC LTDA</t>
  </si>
  <si>
    <t>MEGA MIX INDUSTRIA DE ARTEFATOS DE CIMENTO E CONCRETO LTDA</t>
  </si>
  <si>
    <t>GRADISA SOLUCOES EM FERRO</t>
  </si>
  <si>
    <t>EVEHX ENGENHARIA LTDA</t>
  </si>
  <si>
    <t>COLUMBIA COMERCIAL DE FERRAMENTAS ELETRICAS LTDA</t>
  </si>
  <si>
    <t>ALPE LOCACAO DE ESTRUTURAS TUBULARES LTDA</t>
  </si>
  <si>
    <t>SH FORMAS ANDAIMES E ESCORAMENTOS LTDA</t>
  </si>
  <si>
    <t>RETIFICA DE MOTORES PARANA LTDA ME</t>
  </si>
  <si>
    <t>VOTORANTIM CIMENTOS NNE SA</t>
  </si>
  <si>
    <t>ADRIANO PEREIRA DA SILVA</t>
  </si>
  <si>
    <t>F.N.R.GOMES ME</t>
  </si>
  <si>
    <t>JA MATERIAIS PARA CONSTRUCAO</t>
  </si>
  <si>
    <t>EQS COMERCIO DE TAMBORES EIRELI</t>
  </si>
  <si>
    <t>J M DE MELO VIANA EIRELI</t>
  </si>
  <si>
    <t>CONCREMAX PRE MOLDADOS LTDA</t>
  </si>
  <si>
    <t>SUPER ABRASIVOS DIAMANTADOS LTDA</t>
  </si>
  <si>
    <t>Sled</t>
  </si>
  <si>
    <t>P.S. DA ROCHA E CIA LTDA</t>
  </si>
  <si>
    <t>CASA DOS PARAFUSOS COMERCIO DE FERRAGENS E FERRAMENTAS LTDA</t>
  </si>
  <si>
    <t>CAVALCANTE E CIA LTDA ME</t>
  </si>
  <si>
    <t>WF DIESEL BOMBAS INJETORAS 63 98511 6895</t>
  </si>
  <si>
    <t>IMPERIO BORRACHAS</t>
  </si>
  <si>
    <t>MARTINS COM SERV DISTR SA</t>
  </si>
  <si>
    <t>UNIMAQ SERVICOS LTDA</t>
  </si>
  <si>
    <t>BM TECH COMERCIAL E DISTRIBUIDORA LTDA</t>
  </si>
  <si>
    <t>NORTEVIDROS COMERCIO DE VIDROS ALUMINIOS E FERRAGE</t>
  </si>
  <si>
    <t>C P LUZ LTDA</t>
  </si>
  <si>
    <t>PARKSUL MADEIRAS LTDA</t>
  </si>
  <si>
    <t>LT ALUMINIO E COMPONENTES LTDA</t>
  </si>
  <si>
    <t>M.J. COMERCIO DE PECAS PARA VEICULOS LTDA.</t>
  </si>
  <si>
    <t>METAL BORRACHAS LTDA</t>
  </si>
  <si>
    <t>NERD FONE LTDA</t>
  </si>
  <si>
    <t>MAIS ESQUADRIAS LTDA</t>
  </si>
  <si>
    <t>ISAR ISOL. TERM. E ACUST. LTDA</t>
  </si>
  <si>
    <t>COPIADORA COPYSERVICE LTDA</t>
  </si>
  <si>
    <t>OPTIMUS COM DE PERSONALIZADOS E COMUNICACAO VISUAL</t>
  </si>
  <si>
    <t>MOURA E CORREA LTDA</t>
  </si>
  <si>
    <t>ARAGUAINA COMERCIO DE FORROS E DIVISORIAS EIRELI</t>
  </si>
  <si>
    <t>IBILUX ILUMINACAO LTDA</t>
  </si>
  <si>
    <t>JOABE LOPES DE SOUSA EIRELLI</t>
  </si>
  <si>
    <t>A PREDILAR MATERIAIS PARA CONSTRUCAO LTDA</t>
  </si>
  <si>
    <t>JK MARMORARIA</t>
  </si>
  <si>
    <t>PALMAS ENERGIA SOLAR COM. VAREJISTA DE MAT. ELETRICO LTDA-ME</t>
  </si>
  <si>
    <t>TUBONASA ACOS LTDA.</t>
  </si>
  <si>
    <t>CAMPOS E FERNANDES LTDA</t>
  </si>
  <si>
    <t>ROBERVAL R. CARNEIRO</t>
  </si>
  <si>
    <t>P A PEREIRA</t>
  </si>
  <si>
    <t>LUIZ RICARDO PEREIRA MORAIS COMERCIO</t>
  </si>
  <si>
    <t>W DA SILVA DIAS</t>
  </si>
  <si>
    <t>JJ TRATORES LTDA</t>
  </si>
  <si>
    <t>TAI MATERIAL DE CONSTRUCAO LTDA</t>
  </si>
  <si>
    <t>PEDRITA MARMORARIA LTDA - EPP</t>
  </si>
  <si>
    <t>E A DE SOUSA EIRELI</t>
  </si>
  <si>
    <t>FE CARRETAS PALMAS LTDA ME</t>
  </si>
  <si>
    <t>53.288.532 GENILDO GOMES DA SILVA</t>
  </si>
  <si>
    <t>C RUBIN TRANSPORTES LTDA</t>
  </si>
  <si>
    <t>HIDRO ELETRO PNEUMATICO LTDA</t>
  </si>
  <si>
    <t>DIAS, DIAS, DIAS E BRITO LTDA</t>
  </si>
  <si>
    <t>LUZ CAFE LTDA</t>
  </si>
  <si>
    <t>A K KOIKE COMERCIO DE MATERIAL DE CONSTRUCAO</t>
  </si>
  <si>
    <t>MEGA ELETRICA DISTRIBUIDORA LTDA - EPP</t>
  </si>
  <si>
    <t>DECK 87 LTDA</t>
  </si>
  <si>
    <t>DECOLA AGRO COMERCIO E SERVICOS LTDA</t>
  </si>
  <si>
    <t>JJKC INDUSTRIA DE MADEIRAS EIRELI</t>
  </si>
  <si>
    <t>AMARAL E MARTINS E PINHEIRO LTDA</t>
  </si>
  <si>
    <t>BRISTOL INDUSTRIA DE MAQ. COM. IMP. E EXP. LTDA</t>
  </si>
  <si>
    <t>MEGA MAQUINAS PECAS E IMPORTACAO LTDA</t>
  </si>
  <si>
    <t>AUTO CENTER LAJEADO COM. DE PROD AUTOM - LTDA</t>
  </si>
  <si>
    <t>APLIK COMUNICAÇÃO VISUAL LTDA</t>
  </si>
  <si>
    <t>PRE MOLDADOS CANADA LTDA - EPP</t>
  </si>
  <si>
    <t>RIBEIRO e MARQUES LTDA. - ME</t>
  </si>
  <si>
    <t>HUGO VICTOR GOULART BARBOSA EIRELI</t>
  </si>
  <si>
    <t>SANTA ROSA DISTRIBUIDORA DE CIMENTOS LTDA - ME</t>
  </si>
  <si>
    <t>AUTO POSTO SANTA TEREZINHA LTDA</t>
  </si>
  <si>
    <t>VIDROLAR VIDROS E MAT DE CONTRUCAO LTDA</t>
  </si>
  <si>
    <t>PETRO PETROLEO 75 COMERCIO DE COMBUSTIVEIS LTDA</t>
  </si>
  <si>
    <t>RG COMERCIAL TINTAS EIRELI</t>
  </si>
  <si>
    <t>FIBER PALMAS COM. DE EQUIP. DE TELECOMUNICACAO LTD</t>
  </si>
  <si>
    <t>ARTE METALURGICA INDUSTRIA LTDA</t>
  </si>
  <si>
    <t>FABIANO COM ATAC DE FERRAMENTAS E MAT DE CONS LTDA</t>
  </si>
  <si>
    <t>Nosso Lar Lojas de Deptos Ltda</t>
  </si>
  <si>
    <t>CASA DO FIAT - ALAIR PEREIRA GOMES - ME</t>
  </si>
  <si>
    <t>M. DE J. B. M. SALES</t>
  </si>
  <si>
    <t>EDIFICAR MATERIAIS PARA CONSTRUCAO LTDA - ME</t>
  </si>
  <si>
    <t>AUTOTINTAO LTDA</t>
  </si>
  <si>
    <t>E C E SILVA EIRELI</t>
  </si>
  <si>
    <t>GM INDUSTRIA METALURGICA LTDA - ME</t>
  </si>
  <si>
    <t>PETRO PETROLEO 71 COMERCIO DE COMBUSTIVEIS LTDA</t>
  </si>
  <si>
    <t>DISTRIBUIDORA BRILHUSS ATACADAO DA LIMPEZA LTDA</t>
  </si>
  <si>
    <t>JAB COMERCIO ATACADISTA SUL LTDA</t>
  </si>
  <si>
    <t>MINERADORA BRUNO 2 LTDA</t>
  </si>
  <si>
    <t>MADEIREIRA SANTA ROSA LTDA</t>
  </si>
  <si>
    <t>NOVA DECAMP COMERCIO DE ALUMINIO LTDA</t>
  </si>
  <si>
    <t>Dormetal Fechaduras</t>
  </si>
  <si>
    <t>BRASIL SEG COMERCIO DE EPI'S LTDA</t>
  </si>
  <si>
    <t>VOTORANTIM CIMENTOS SA</t>
  </si>
  <si>
    <t>AARO COMERCIO DE TINTAS LTDA</t>
  </si>
  <si>
    <t>AGUIAR DIAS LUZ E DECORACAO LTDA</t>
  </si>
  <si>
    <t>DISTRIBUIDORA SOUSA COSTA LTDA</t>
  </si>
  <si>
    <t>SINCOL ARTEFATOS DE CIMENTO</t>
  </si>
  <si>
    <t>MARINALDO ALEXANDRE DA SILVA FUNDICAO LTDA</t>
  </si>
  <si>
    <t>MHC COMERCIO DE COMB.E DERIV. DE PETROLEO EIRELLI</t>
  </si>
  <si>
    <t>AB CIMENTOS</t>
  </si>
  <si>
    <t>CARDEC PRE MOLDADOS LTDA</t>
  </si>
  <si>
    <t>ALENCAR COMERCIO DE MOVEIS ELETRO E CONSTRUCAO LTDA ME</t>
  </si>
  <si>
    <t>PNEUACO RENOVADORA DE PNEUS DE PALMAS LTDA</t>
  </si>
  <si>
    <t>CAJU E LIMAO EIRELI - ME</t>
  </si>
  <si>
    <t>SHOPPING DAS BATERIAS - CENTRO</t>
  </si>
  <si>
    <t>NOVA ERA TRANSFORMADORES LTDA</t>
  </si>
  <si>
    <t>MINERACAO RIO FORMOSO LTDA</t>
  </si>
  <si>
    <t>FORT LAJES LTDA</t>
  </si>
  <si>
    <t>CIRQUEIRA E MOTA PARAFUSOS LTDA-ME</t>
  </si>
  <si>
    <t>A F SOARES EIRELI</t>
  </si>
  <si>
    <t>R R DE OLIVEIRA</t>
  </si>
  <si>
    <t>A F SOARES EIRELLI</t>
  </si>
  <si>
    <t>CONSTRUTORA FORTE PISOS</t>
  </si>
  <si>
    <t>CHAVES E CIA LTDA - EPP</t>
  </si>
  <si>
    <t>CORDEIRO CABOS ELETRICOS S/A</t>
  </si>
  <si>
    <t>DCRISTAL PALMAS COM DE VIDROS ALUM E FERR LTDA</t>
  </si>
  <si>
    <t>L A DE MORAIS COMERCIO E SERVICOS DE MOLAS LTDA</t>
  </si>
  <si>
    <t>REFRISOLAR REFRIGERACAO LTDA</t>
  </si>
  <si>
    <t>PORTUGAL COM. M. PARA CONSTRUCAO LTDA</t>
  </si>
  <si>
    <t>LS DE SOUSA JJ CONSTRUÇÃO E FERRAGISTA</t>
  </si>
  <si>
    <t>ESTANCIA SANTA MARIA COM. DE MAD. E MAT DE CONSTRUCAO EIRELI</t>
  </si>
  <si>
    <t>NORTE INOX INDUSTRIA E COMERCIO DE FERRAGENS E FER</t>
  </si>
  <si>
    <t>CONCRETINS FABRICACAO DE MASSA DE CONCRETO</t>
  </si>
  <si>
    <t>VINISA HOME STEEL COM DE FORROS E DIVISORIAS LTDA</t>
  </si>
  <si>
    <t>AUTO PECAS AGUIAR COM. DE PECAS P/ VEICULOS EIRELI</t>
  </si>
  <si>
    <t>E. C. P. DO NASCIMENTO - ME</t>
  </si>
  <si>
    <t>APICE MULTIMIDIA COMUNICACAO E PUBLICIDADE LTDA</t>
  </si>
  <si>
    <t>LUCACO IND E COM DE TELHAS LTDA</t>
  </si>
  <si>
    <t>TEMPER ARAGUAINA INDUSTRIA DE VIDROS LTDA</t>
  </si>
  <si>
    <t>REDE DITO PETROLEO ARAGUAINA LTDA</t>
  </si>
  <si>
    <t>MARCELO FARIAS DE ALMEIDA EIRELI</t>
  </si>
  <si>
    <t>A3 LAJES MATERIAIS DE CONSTRUCAO E PRE MOLDADOS LT</t>
  </si>
  <si>
    <t>UMBERTO GOMES DA SILVA JUNIOR LTDA</t>
  </si>
  <si>
    <t>ISOESTE METALICA IND. E COMERCIO LTDA</t>
  </si>
  <si>
    <t>DAY BRASIL S/A</t>
  </si>
  <si>
    <t>Dexco S.A.</t>
  </si>
  <si>
    <t>SUPER PARTS SERVICOS E REP EIRELI</t>
  </si>
  <si>
    <t>J L MOTA SILVA</t>
  </si>
  <si>
    <t xml:space="preserve">FORROBRAS IND. E COM. DE ART.DE PLAST.LTDA.
</t>
  </si>
  <si>
    <t>E A. ARAUJO EIRELI</t>
  </si>
  <si>
    <t>DORIAN LENIR SCHEFFLER LIMA LTDA</t>
  </si>
  <si>
    <t>ATIVA MATERIAIS ELETRICOS LTDA</t>
  </si>
  <si>
    <t>L ESTEFANUTO -EIRELI-ME</t>
  </si>
  <si>
    <t>A S DOURADO DISTRIBUIDORA LTDA</t>
  </si>
  <si>
    <t>RZ GROUP LTDA</t>
  </si>
  <si>
    <t>MARTELAR FERRAMENTAS E CONSTRUCAO LTDA</t>
  </si>
  <si>
    <t>DUDU PRODUTOS DE HIGIENE E LIMPEZA LTDA - EPP</t>
  </si>
  <si>
    <t>CALIMAN PEDRAS DO BRASIL LTDA EPP</t>
  </si>
  <si>
    <t>D. LUX ILUMINACAO LTDA</t>
  </si>
  <si>
    <t>Elevadores Atlas Schindler Ltda.</t>
  </si>
  <si>
    <t xml:space="preserve">COFERPA COMERCIO ATACADISTA DE FERRO E ACO LTDA-ME
</t>
  </si>
  <si>
    <t>LADY ACUSTICA E REVESTIMENTOS LTDA</t>
  </si>
  <si>
    <t>J C DE BARROS &amp; CIA LTDA</t>
  </si>
  <si>
    <t>C C ALVES</t>
  </si>
  <si>
    <t>Z. M. NOLETO ALVES</t>
  </si>
  <si>
    <t>REDE DE POSTOS TOCA DA ONCA ARAGUAINA RODOVIA LTDA</t>
  </si>
  <si>
    <t>ALENCAR &amp; PARENTE LTDA</t>
  </si>
  <si>
    <t>J MENDES ROCHA - AR CONDICIONADO</t>
  </si>
  <si>
    <t>RODOPETRO COMBUSTIVEIS E PARTICIPACOES LTDA</t>
  </si>
  <si>
    <t>POSTO VIA NORTE E SUL COMERCIO DE COMBUSTIVEIS LTDA  EPP</t>
  </si>
  <si>
    <t>C VITORINO RODRIGUES LTDA</t>
  </si>
  <si>
    <t>AREIAL SANTA ROSA EXTRACAO DE AREIA LTDA</t>
  </si>
  <si>
    <t>F P ENGENHARIA LTDA- ME</t>
  </si>
  <si>
    <t>INDUSTRIA DE PRE-MOLDADOS DA AMAZONIA S/</t>
  </si>
  <si>
    <t>TRISTAO COMERCIO DE PNEUS EIRELI EPP</t>
  </si>
  <si>
    <t>E.A.R. PEREIRA COMBUSTIVEIS EIRELI</t>
  </si>
  <si>
    <t>ON MADEIRAS LTDA</t>
  </si>
  <si>
    <t>HORUS S/A DISTRIBUIDORA DE SOLUCOES TECN</t>
  </si>
  <si>
    <t>BARBOSA E ANJOS LTDA</t>
  </si>
  <si>
    <t>MTS DIVISORIAS E TRANSPORTES LTDA EPP</t>
  </si>
  <si>
    <t>CONSTRUCENTER FORROS E DIVISORIAS LTDA</t>
  </si>
  <si>
    <t>C. F. COMERCIO</t>
  </si>
  <si>
    <t>CLARA HELENA ARANTES MARTINS BORGES - ME</t>
  </si>
  <si>
    <t>Extinseg Equipamentos de Seguranca LTDA - ME</t>
  </si>
  <si>
    <t xml:space="preserve">G. VIEIRA FERNANDES CIA LTDA
</t>
  </si>
  <si>
    <t>MARLEDES JOSE HILARIO</t>
  </si>
  <si>
    <t>REFAX FACHADAS FORROS LTDA</t>
  </si>
  <si>
    <t>DCCO SOLUCOES EM ENERGIA E EQUIP LTDA</t>
  </si>
  <si>
    <t>40.812.235 ADVALDO RIBEIRO DE OLIVEIRA</t>
  </si>
  <si>
    <t>50.517.401 GILMAR FRANCISCO RIBEIRO</t>
  </si>
  <si>
    <t>51.765.215 FABIO GLORIA MIRANDA</t>
  </si>
  <si>
    <t>52.519.668 RANDSON SANTOS DE SOUSA</t>
  </si>
  <si>
    <t>AC S/S LTDA</t>
  </si>
  <si>
    <t>ADRIAN ADVOCACIA - SOCIEDADE INDIVIDUAL DE ADVOCACIA</t>
  </si>
  <si>
    <t>ALIANÃ‡A VISTORIA CERTIFICAÃ‡ÃƒO AUTOMOTIVA LTDA EPP</t>
  </si>
  <si>
    <t>AM CONSTRUTORA LTDA</t>
  </si>
  <si>
    <t>AUTOMAQ LTDA</t>
  </si>
  <si>
    <t>C A DE MORAIS - ME</t>
  </si>
  <si>
    <t>CAMARA DE DIRIGENTES LOJISTAS DE PALMAS</t>
  </si>
  <si>
    <t>CASA 3 MONTAGEM DE ESTRUTURAS -ME LTDA</t>
  </si>
  <si>
    <t>Casa do Vidraceiro Ltda</t>
  </si>
  <si>
    <t>CBMED - EXAMES LABORATIVOS + LTDA</t>
  </si>
  <si>
    <t>CDT CENTRO DIAGNOSTICO TOCANTINS LTDA</t>
  </si>
  <si>
    <t>CERAMICA RAMOS LTDA</t>
  </si>
  <si>
    <t>CERRADO ENGENHARIA E CONSTRUCAO LTDA</t>
  </si>
  <si>
    <t>CERTSERV CERTIFICADORA DIGITAL LTDA</t>
  </si>
  <si>
    <t>CIPLAN CIMENTO PLANALTO S/A</t>
  </si>
  <si>
    <t>CONCREGELL PALMAS LTDA</t>
  </si>
  <si>
    <t>COPYLINE INFORMATICA LTDA ME</t>
  </si>
  <si>
    <t>DAIA ENGENHARIA LTDA</t>
  </si>
  <si>
    <t>ELLAS SOLUCOES EM IMPRESSOES E PAPELARIA CONCEITO LTDA</t>
  </si>
  <si>
    <t>ELOISA BONATTO DOS SANTOS BENDO LTDA</t>
  </si>
  <si>
    <t>ENGSIK IMPERMEABILIZACOES LTDA</t>
  </si>
  <si>
    <t>ESTRUTURAL SERVICO E LOCACAO DE GUINDASTES EIRELI</t>
  </si>
  <si>
    <t>F L FERREIRA SERVICOS LTDA</t>
  </si>
  <si>
    <t>FRANCO RIBEIRO LTDA</t>
  </si>
  <si>
    <t>GOIAS FORTE ACABAMENTOS EM PVC LTDA</t>
  </si>
  <si>
    <t>HR TERRA LTDA</t>
  </si>
  <si>
    <t>IM SEGURANÇA ELETRÔNICA LTDA</t>
  </si>
  <si>
    <t>IMPERCIA ESPEC QUIMICAS P CONSTR LTDA</t>
  </si>
  <si>
    <t>IRMAOS CHAVES LTDA-EPP</t>
  </si>
  <si>
    <t>J. C. JARDIM EIRELI - ME</t>
  </si>
  <si>
    <t>JMS CONSTRUCOES E LOCACOES LTDA</t>
  </si>
  <si>
    <t>JOÃO FRANCISCO FURLAN DOS SANTOS LTDA</t>
  </si>
  <si>
    <t>JR CAMINHOES LTDA</t>
  </si>
  <si>
    <t>KINGSPAN-ISOESTE CONSTRUTIVOS ISOTERMICOS S/A</t>
  </si>
  <si>
    <t>L A DE MORAIS EPP</t>
  </si>
  <si>
    <t>L. DE S. PINHEIRO BRITO - ME</t>
  </si>
  <si>
    <t>LIMA MATERIAIS ELETRICOS EIRELI</t>
  </si>
  <si>
    <t>LUIS FERNANDES SOBRINHO 58882197115</t>
  </si>
  <si>
    <t>LUMA RAFAELA QUEIROZ MENDES</t>
  </si>
  <si>
    <t>MGC INDUSTRIA E COMERCIO LTDA</t>
  </si>
  <si>
    <t>MORABEZA ARQUITETURA LTDA</t>
  </si>
  <si>
    <t>NL DISTRIBUIDORA DE PNEUS EIRELI</t>
  </si>
  <si>
    <t>PEDRO GONCALVES DA SILVA 57753474120</t>
  </si>
  <si>
    <t>PHD ADMINSTRACAO E COBRANCA LTDA</t>
  </si>
  <si>
    <t>PHD LABORATORIO CLINICO S/A</t>
  </si>
  <si>
    <t>R A GONCALVES CIA LTDA</t>
  </si>
  <si>
    <t>R CERVELLINI REVESTIMENTOS LTDA</t>
  </si>
  <si>
    <t>REGILDO DA SILVA E SILVA 01648111335</t>
  </si>
  <si>
    <t>RS INDUSTRIA E COMERCIO DE ESTRUTURAS METALICAS  LTDA</t>
  </si>
  <si>
    <t>S V N DA SILVA</t>
  </si>
  <si>
    <t>SHOPPING DAS IMPRESSORAS COPIADORA E LOCACAO LTDA</t>
  </si>
  <si>
    <t>SOLIDA SONDAGEM DE SOLO LTDA</t>
  </si>
  <si>
    <t>SUPERMIX CONCRETO S/A</t>
  </si>
  <si>
    <t>TECNICA SONDAGEM E TECNOLOGIA LTDA EPP</t>
  </si>
  <si>
    <t>UNIMED PALMAS COOPERATIVA DE TRABALHO MÉDICO</t>
  </si>
  <si>
    <t>KAMIKAZE IND E COM DE MADEIRAS LTDA</t>
  </si>
  <si>
    <t>TOCA DO SOM INSTRUMENTOS MUSICAIS LTDA ME</t>
  </si>
  <si>
    <t>SANTA ROSA CENTER LTDA - ME</t>
  </si>
  <si>
    <t>POSTO ALIANCA-COMERCIO DE COMBUSTIVEIS LTDA</t>
  </si>
  <si>
    <t>R F RIBEIRO BISNETO LTDA</t>
  </si>
  <si>
    <t>I R L ALUMINIOS VIDROS E FERRAGENS LTDA</t>
  </si>
  <si>
    <t>GESSO PRIME LTDA</t>
  </si>
  <si>
    <t>Dormetal Ferragens Ltda</t>
  </si>
  <si>
    <t>SISNATE CONSULTORIA EM TRATAMENTO DE EFLUENTES LTDA</t>
  </si>
  <si>
    <t>FORTLEV INDUS.E COMERC. DE PLASTICO</t>
  </si>
  <si>
    <t>GMAIS LTDA</t>
  </si>
  <si>
    <t>TEMPERTINS IND. E COM. DE VIDROS. LTDA</t>
  </si>
  <si>
    <t>EPENGE MINERADORA LTDA</t>
  </si>
  <si>
    <t>ARAUJO CARRETAS E BRAVO NAUTICA E COMERCIO LTDA</t>
  </si>
  <si>
    <t>PALMAS OXIGENIO LTDA</t>
  </si>
  <si>
    <t>DICOMP DISTRIBUIDORA DE ELETRONICOS LTDA</t>
  </si>
  <si>
    <t>ACPA ANODIZACAO DE CHAPAS E P. DE ALUMINIO LTDA</t>
  </si>
  <si>
    <t>GESSO DO CARMO LTDA ME</t>
  </si>
  <si>
    <t>GURUFER IND COM PRODS SIDERURGICOS LTDA</t>
  </si>
  <si>
    <t>BLOCOMIX CONCRETOS E ARGAMASSAS LTDA - E</t>
  </si>
  <si>
    <t>APORT SOLUCOES AMBIENTAIS LTDA</t>
  </si>
  <si>
    <t>SEMPRE AUTORIDADE CERTIFICADORA BRASILIA</t>
  </si>
  <si>
    <t>CAMELO E ALENCAR LTDA</t>
  </si>
  <si>
    <t>Ecopex Industria e Comercio Ltda - EPP</t>
  </si>
  <si>
    <t>J.L DE SOUZA</t>
  </si>
  <si>
    <t>J. B DE SOUZA &amp; CIA LTDA</t>
  </si>
  <si>
    <t>G. VIEIRA FERNANDES CIA. LTDA.</t>
  </si>
  <si>
    <t>SILVA E SOBRINHO LTDA</t>
  </si>
  <si>
    <t>SIMAO FERRAGENS E FERRAMENTAS LTDA</t>
  </si>
  <si>
    <t>VERTICE SERVICOS DE TERRAPLANAGEM E LOCACAO DE MAQUINAS LTDA</t>
  </si>
  <si>
    <t>MARQUES E MARTINS LTDA</t>
  </si>
  <si>
    <t>DJVL MAT. ELETRICOS E CONSTRUCAO LTDA</t>
  </si>
  <si>
    <t>AVANCA LED COMERCIO DE ILUMINACAO LTDA</t>
  </si>
  <si>
    <t>Cia Industrial H. Carlos Schneider</t>
  </si>
  <si>
    <t>CINEX TECNOLOGIA PARA ARQUITETURA LTDA</t>
  </si>
  <si>
    <t>CASA DO VENTILADOR EIRELI - ME</t>
  </si>
  <si>
    <t>Industria de Transformadores Itaipu Ltda</t>
  </si>
  <si>
    <t>Colinas Materiais de Construcao LTDA</t>
  </si>
  <si>
    <t>KI PEDRA REVESTIMENTOS EIRELI ME</t>
  </si>
  <si>
    <t>NOVO MUNDO MOVEIS E UTILIDADES LTDA</t>
  </si>
  <si>
    <t>LIMBERGER HERTEL LTDA</t>
  </si>
  <si>
    <t>COMERCIAL DE MAT DE CONST SERRA GRANDE LTDA</t>
  </si>
  <si>
    <t>EXCELENCIA DISTRIBUIDORA DE SISTEMAS DE SEG.ELETRO LTDA</t>
  </si>
  <si>
    <t>DONIPLAST IND E COM DE FORRO LTDA - ME</t>
  </si>
  <si>
    <t>MADESIL DISTR. DE MATERIAIS CONSTRUCAO LTDA EPP</t>
  </si>
  <si>
    <t>ELISANGELA PALMA DE CAMPOS LTDA</t>
  </si>
  <si>
    <t>FRANCELI DONI COM. DE FORROS</t>
  </si>
  <si>
    <t>SOUSA COSTA COMERCIO ATAC DE FERRAGENS E FERRAMENTAS LTDA</t>
  </si>
  <si>
    <t>MOURA E SANTOS PROJETOS E EXECUCOES LTDA ME</t>
  </si>
  <si>
    <t>CE DISTRIBUIDORA</t>
  </si>
  <si>
    <t>OLIVEIRA E SENA LTDA</t>
  </si>
  <si>
    <t>N &amp; S ALUMINIOS E METAIS LTDA</t>
  </si>
  <si>
    <t>MARQUES BARBOSA INDUSTRIA E COMERCIO</t>
  </si>
  <si>
    <t>AROS COMERCIO DE TINTAS LTDA</t>
  </si>
  <si>
    <t>M F FERNANDES PUXADORES E ACESSORIOS LTDA - EPP</t>
  </si>
  <si>
    <t>T N S SALGADINHOS KI DELICIA LTDA</t>
  </si>
  <si>
    <t>R L CARVALHO LTDA</t>
  </si>
  <si>
    <t>SAAD E RIBEIRO LTDA - ME</t>
  </si>
  <si>
    <t>I  A LEOCADIO ME</t>
  </si>
  <si>
    <t>TECNICA ENGENHARIA LTDA</t>
  </si>
  <si>
    <t>SOLDASOL MÁQUINAS FERRAMENTAS E SERVIÇOS</t>
  </si>
  <si>
    <t>CACO &amp; LIMA ARQUITETURA LTDA</t>
  </si>
  <si>
    <t>PALMA PECAS E ACESSORIOS AUTOMOTIVOS LTDA</t>
  </si>
  <si>
    <t>PRE MOLDADOS M REIS LTDA</t>
  </si>
  <si>
    <t>BUENO E CIA LTDA</t>
  </si>
  <si>
    <t>UILMA FRANCISCA DAMAS &amp; CIA LTDA - ME</t>
  </si>
  <si>
    <t>GD DISTR.DE MATERIAIS PARA CONSTRUCAO LTDA  ME</t>
  </si>
  <si>
    <t>J A V TAVARES</t>
  </si>
  <si>
    <t>J C DE SOUSA</t>
  </si>
  <si>
    <t>UMUARAMA AUTOS LTDA</t>
  </si>
  <si>
    <t>Pronto Fibra Ltda</t>
  </si>
  <si>
    <t>R DE M BORBA LTDA</t>
  </si>
  <si>
    <t>ARAGUAIA MATERIAIS PARA CONSTRUCAO LTDA</t>
  </si>
  <si>
    <t>BRASIL COMERCIO DE PRODUTOS AGROPECUARIOS EIRELI</t>
  </si>
  <si>
    <t>E. M. O. ROCHA EPP</t>
  </si>
  <si>
    <t>ARGN CENTER MODAS LTDA</t>
  </si>
  <si>
    <t>REAL DISTRIBUIDORA DE LATAS LTDA</t>
  </si>
  <si>
    <t>PONTO DO PADRAO INDUSTRIA E COMERCIO LTDA</t>
  </si>
  <si>
    <t>VALOC LOCADORA DE MAQUINAS LTDA</t>
  </si>
  <si>
    <t>Z11 ESPORTES LTDA</t>
  </si>
  <si>
    <t>SUPER ABRASIVOS ABC LTDA</t>
  </si>
  <si>
    <t>CERTO - CERAMICA TOCANTINS LTDA</t>
  </si>
  <si>
    <t>VALENTE MOTOR NAUTICA LTDA</t>
  </si>
  <si>
    <t>BRILHUSS PRODUTOS DE HIGIENE E LIMPEZA EIRELI - ME</t>
  </si>
  <si>
    <t>PREMOLTINS CONSTRUCOES E PREMOLDADOS LTDA</t>
  </si>
  <si>
    <t>DECIO COMERCIO E SERVICOS RODOVIARIOS LTDA</t>
  </si>
  <si>
    <t>28826250 ROSA VIANA DE SOUSA SILVA</t>
  </si>
  <si>
    <t>64.380.621 RAFAELLA DE SOUZA AGUIAR</t>
  </si>
  <si>
    <t>PANIFICADORA FIGUEREDO LTDA</t>
  </si>
  <si>
    <t>IDIANEY MARINEJE SOUSA-ME</t>
  </si>
  <si>
    <t>MADEIREIRA TOCANTINS</t>
  </si>
  <si>
    <t>JM Geradores LTDA</t>
  </si>
  <si>
    <t>64765123 REGINALDA FERNANDES DE OLIVEIRA ME</t>
  </si>
  <si>
    <t>SINAL CENTER COMERCIO E SINALIZACAO LTDA</t>
  </si>
  <si>
    <t>BOLD S.A.</t>
  </si>
  <si>
    <t>FOTUS ENERGIA SOLAR LTDA</t>
  </si>
  <si>
    <t>TERRA FIRME CONSTRUCAO E MOVEIS LTDA</t>
  </si>
  <si>
    <t>J. LEAL ENGENHARIA AMBIENTAL LTDA</t>
  </si>
  <si>
    <t>INSET MASTER BRASIL LTDA</t>
  </si>
  <si>
    <t>LUCIANA DE SOUZA ARAUJO</t>
  </si>
  <si>
    <t>CONSTRUGEL CONCEPT LTDA</t>
  </si>
  <si>
    <t>DESAFIO PARAFUSO E CIA</t>
  </si>
  <si>
    <t>A GONTIJO COMERCIO DE PECAS</t>
  </si>
  <si>
    <t>RAIMUNDO NONATO PEREIRA NUNES</t>
  </si>
  <si>
    <t>M F B ROCHA</t>
  </si>
  <si>
    <t>ELIAS MATERIAIS PARA CONSTRUCAO LTDA</t>
  </si>
  <si>
    <t>LAURA EDUARDA SOARES CASTILHO</t>
  </si>
  <si>
    <t>AUTO POSTO DE COMBUSTIVEL RN PETRO LTDA</t>
  </si>
  <si>
    <t>53595751 IAN BRUNO DA CUNHA ARRUDA</t>
  </si>
  <si>
    <t>TB ATACADISTA LTDA</t>
  </si>
  <si>
    <t>CONCEITO METAL PLASTIC INDUSTRIA E COMERCIO LTDA</t>
  </si>
  <si>
    <t>TRAEL TRANSFORMADORES ELETRICOS LTDA</t>
  </si>
  <si>
    <t>AUTO POSTO MOURAO LTDA</t>
  </si>
  <si>
    <t>AUTO POSTO SAO ROQUE LTDA</t>
  </si>
  <si>
    <t>BARRETO SUPERMERCADO LTDA</t>
  </si>
  <si>
    <t>REVEMAR COMERCIO DE MAQUINAS INDUSTRIAIS LTDA</t>
  </si>
  <si>
    <t>INSPIRARE COMERCIO DE MOVEIS LTDA</t>
  </si>
  <si>
    <t>JALAPAO COMERCIO DE MATERIAIS PARA CONSTRUCAO EIRELI</t>
  </si>
  <si>
    <t>AGROECONOMIA LTDA</t>
  </si>
  <si>
    <t>A S MAGALHAES - ME</t>
  </si>
  <si>
    <t>L C DA SILVA E CIA LTDA</t>
  </si>
  <si>
    <t>CROMO SERVIÇOS LTDA</t>
  </si>
  <si>
    <t>ARARA GROWTH CONSULTORIA LTDA</t>
  </si>
  <si>
    <t>JOSE HUMBERTO RODRIGUES NOLETO - ME</t>
  </si>
  <si>
    <t>PALMAS LED EVENTOS LTDA</t>
  </si>
  <si>
    <t>GRAFICA E EDITORA CAPITAL LTDA - ME</t>
  </si>
  <si>
    <t>CLINICA OLIVER MEDICINA DO TRABALHO LTDA</t>
  </si>
  <si>
    <t>OLIVER COSSMET  LTDA</t>
  </si>
  <si>
    <t>NOVO GESSO   ACARTONADO, DRYWALL E REVESTIMENTOS LTDA</t>
  </si>
  <si>
    <t>POSTO IPANEMA CARMOLANDIA LTDA</t>
  </si>
  <si>
    <t>ROMULO ERNALDO RODRIGUES ROCHA EIRELI</t>
  </si>
  <si>
    <t>DB ILUMINACAO LTDA</t>
  </si>
  <si>
    <t>J. M. S. FERRAGENS LTDA</t>
  </si>
  <si>
    <t>A&amp;C COMERCIO &amp; SERVICOS LTDA</t>
  </si>
  <si>
    <t>REDE DE POSTOS MARAJO BRASILANDIA LTDA</t>
  </si>
  <si>
    <t>A B ALVES DA SILVA COMERCIO LTDA</t>
  </si>
  <si>
    <t>J COELHO MODESTO LTDA ME</t>
  </si>
  <si>
    <t>ELETRO HIDRO PNEUMATICO LTDA-ME</t>
  </si>
  <si>
    <t>NEUTON FERNANDES DE OLIVEIRA-ME</t>
  </si>
  <si>
    <t>OFICINA MECANICA AUTO CENTER MUNDIAL LTDA</t>
  </si>
  <si>
    <t>EXATA ONIBUS E CAMINHOES LTDA</t>
  </si>
  <si>
    <t>Churrascaria e Peixaria da Selma</t>
  </si>
  <si>
    <t>ARLETE FERREIRA DOS SANTOS</t>
  </si>
  <si>
    <t>51.826.296 ANANIAS  DE JESUS PEREIRA</t>
  </si>
  <si>
    <t>LA INDUSTRIA E COMERCIO DE CAFE EIRELI</t>
  </si>
  <si>
    <t>FERNANDES DISTRUIBUIDORA DE PECAS AUTOMOTIVAS LTDA</t>
  </si>
  <si>
    <t>P MACHADO DE SOUSA DUTRA</t>
  </si>
  <si>
    <t>MARQUES &amp; COSTA LTDA</t>
  </si>
  <si>
    <t>POSTO ALIANZ COLINAS LTDA</t>
  </si>
  <si>
    <t>A MUNDIAL TINTAS LTDA</t>
  </si>
  <si>
    <t>DICRISTAL VIDROS LTDA</t>
  </si>
  <si>
    <t>ED-ENERGY COMERCIO, SERVICOS E SOLUCOES EM ILUMINACAO LTDA</t>
  </si>
  <si>
    <t>LOJA DO BORRACHEIRO COMERCIAL LTDA-ME</t>
  </si>
  <si>
    <t>COMERCIAL ROFE LTDA [F-TO]</t>
  </si>
  <si>
    <t>J.H.S. COM.E REP.DE PECAS AUTOMOTIVAS LTDA - ME</t>
  </si>
  <si>
    <t>INOVE SISTEMAS LTDA</t>
  </si>
  <si>
    <t>Rech Agricola S/A</t>
  </si>
  <si>
    <t>ART CENTER LTDA</t>
  </si>
  <si>
    <t>JOANA MOLDURAS</t>
  </si>
  <si>
    <t>ANTONIO M NASCIMENTO - ME</t>
  </si>
  <si>
    <t>65.916.110 DENISE PINTO SANTOS</t>
  </si>
  <si>
    <t>V.G. CEZAR LTDA</t>
  </si>
  <si>
    <t>QUALYDET PRODUTOS QUIMICOS LTDA</t>
  </si>
  <si>
    <t>CAPITAL TECH LTDA</t>
  </si>
  <si>
    <t>IMPERIO TINTAS LTDA</t>
  </si>
  <si>
    <t>PALMAS COMERCIO DE TINTAS LTDA</t>
  </si>
  <si>
    <t>VIDRO PALMAS LTDA</t>
  </si>
  <si>
    <t>Armac Locação, Logística e Serviços S.A.</t>
  </si>
  <si>
    <t>MATEUS COM DE MATERIAIS P/ MARCENARIAS EIRELI - EP</t>
  </si>
  <si>
    <t>HIDRAUPALMAS COMPONENTES SERVICOS HIDRAULICOS LTDA</t>
  </si>
  <si>
    <t>VIANA AMORIM COMERCIO E SERVICOS LTDA</t>
  </si>
  <si>
    <t>MN COM. VAREJ. DE FERRAGENS E FERRAM. EIRELI -ME</t>
  </si>
  <si>
    <t>DCCO LOCADORA MAQ E EQUIP LTDA</t>
  </si>
  <si>
    <t>ACVL TUBOS E CONEXOES LTDA</t>
  </si>
  <si>
    <t>SILVANA DE SOUSA LIMA - ME</t>
  </si>
  <si>
    <t>ALBERTO LIVIO CAMPOS VIANA - ME</t>
  </si>
  <si>
    <t>AUTO POSTO DISBRAVA LTDA - MATRIZ</t>
  </si>
  <si>
    <t>ALEX RIBEIRO ENGENHARIA LTDA</t>
  </si>
  <si>
    <t>WMWESON DA SILVA MELO</t>
  </si>
  <si>
    <t>MS EMPREENDIMENTOS LTDA</t>
  </si>
  <si>
    <t>M L COMERCIO DE MADEIRAS LTDA</t>
  </si>
  <si>
    <t>DALADIEUX ANTONIO DA SILVA - ME</t>
  </si>
  <si>
    <t>SC AUTOPECAS E MECANICA LTDA</t>
  </si>
  <si>
    <t>PALMAS CHAVES SERVICO LTDA ME</t>
  </si>
  <si>
    <t>PINHEIRO &amp; OLIVEIRA LTDA - ME</t>
  </si>
  <si>
    <t>SANCAR AUTOCENTER  - EPP LTDA</t>
  </si>
  <si>
    <t>SOUZA FREIOS E MOLAS LTDA-ME</t>
  </si>
  <si>
    <t>CONSTRUTORA PORTOBELLO LTDA - EPP</t>
  </si>
  <si>
    <t>FALCÃO INFORMÁTICA E CELULARES LTDA</t>
  </si>
  <si>
    <t>R S DE SOUSA COMPANY LTDA</t>
  </si>
  <si>
    <t>SOL- COMERCIO E SERVICOS DA TECNOLOGIA LTDA</t>
  </si>
  <si>
    <t>MATIAS  COSTA LTDA- ME</t>
  </si>
  <si>
    <t>Nature Restaurante</t>
  </si>
  <si>
    <t>R L DOS SANTOS</t>
  </si>
  <si>
    <t>CIAEL COMANDO E AUTOMACAO LTDA</t>
  </si>
  <si>
    <t>ANTONIO JOSE ALVES DA SILVA NETO</t>
  </si>
  <si>
    <t>I R SOUSA SERVICO E COMERCIO DE GRAMA</t>
  </si>
  <si>
    <t>CASA DOS REPAROS PMW LTDA</t>
  </si>
  <si>
    <t>KUSURI DISTRIBUIDORA LTDA</t>
  </si>
  <si>
    <t>BD TINTAS E MATERIAIS P/ CONSTRUCAO LTDA</t>
  </si>
  <si>
    <t>GURUPI REFRIGERACAO COM. E SERVICOS LTDA</t>
  </si>
  <si>
    <t>AGROPECUARIA SUL AGRO LTDA</t>
  </si>
  <si>
    <t>GURGELMIX MAQUINAS E FERRAMENTAS S.A.</t>
  </si>
  <si>
    <t>68.265.880 VITOR SCHMITT ANDRADE</t>
  </si>
  <si>
    <t>68.337.241 KAIRO SAMUEL MARTINS DA SILVA</t>
  </si>
  <si>
    <t>EDIMILSON DA COSTA OLIVEIRA 38085798204</t>
  </si>
  <si>
    <t>67.546.632 RAFAEL LOPES DIAS</t>
  </si>
  <si>
    <t>67.700.833 PEDRO BARBOSA DOS SANTOS</t>
  </si>
  <si>
    <t>66.262.310 VICTORIA SOARES MILHOMEM</t>
  </si>
  <si>
    <t>57.269.883 LUCAS BARBOSA DA SILVA</t>
  </si>
  <si>
    <t>62.493.428 VANESSA PEREIRA JORGE</t>
  </si>
  <si>
    <t>55.936.464 WILLIAN DOS SANTOS FERREIRA</t>
  </si>
  <si>
    <t>63.347.706 DANIELA DOS SANTOS PEREIRA</t>
  </si>
  <si>
    <t>54.910.548 LUCAS ALVES MARTINS RIBEIRO</t>
  </si>
  <si>
    <t>59.429.643 MARCOS ANTONIO SOUSA DA SILVA</t>
  </si>
  <si>
    <t>43.516.101 SILVANA DOS REIS LIMA SANTOS</t>
  </si>
  <si>
    <t>53.536.202 EVILMARA LIMA DO NASCIMENTO</t>
  </si>
  <si>
    <t>44.677.183 RANGEL RODRIGUES DAS NEVES</t>
  </si>
  <si>
    <t xml:space="preserve">51.646.914 TAYNARA LARYSSA GONCALVES DO </t>
  </si>
  <si>
    <t>CBG CERTIFICADORA BRASILEIRA DE GESTAO L</t>
  </si>
  <si>
    <t>MARIA CLARA SILVA JARDIM 05549929147</t>
  </si>
  <si>
    <t>HABIL SOFTWARE LTDA</t>
  </si>
  <si>
    <t>PRIME 2 B MARKETING DIGITAL LTDA</t>
  </si>
  <si>
    <t xml:space="preserve">UPDATE DIGITAL TECNOLOGIA DA INFORMACAO </t>
  </si>
  <si>
    <t>J2K TECNOLOGIA LTDA</t>
  </si>
  <si>
    <t>HOME HERO TECNOLOGIA PARA REFORMAS LTDA</t>
  </si>
  <si>
    <t>M. A. F. CARNEIRO  LTDA</t>
  </si>
  <si>
    <t>PLATANO SOLUTION LTDA</t>
  </si>
  <si>
    <t>EDINETE DE OLIVEIRA BRAGA 96601230197</t>
  </si>
  <si>
    <t>66.584.082 EMERSON SILVA E SILVA</t>
  </si>
  <si>
    <t>IDEAL TEM DE TUDO COMERCIO VAREJISTA LTD</t>
  </si>
  <si>
    <t>LABORMED MEDICINA DO TRABALHO LTDA -ME</t>
  </si>
  <si>
    <t>AURELIO ANTONIO CAMPOS PIMENTA ME</t>
  </si>
  <si>
    <t>JH SAUDE LTDA</t>
  </si>
  <si>
    <t>HOSPITAL DE OLHOS DO TOCANTINS LTDA</t>
  </si>
  <si>
    <t>nome fornecedores</t>
  </si>
  <si>
    <t xml:space="preserve">codigo contas </t>
  </si>
  <si>
    <t>fornecedores</t>
  </si>
  <si>
    <t>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</si>
</sst>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8"/>
      <color indexed="8"/>
      <name val="Tahoma"/>
      <family val="2"/>
    </font>
    <font>
      <b/>
      <sz val="8"/>
      <color indexed="64"/>
      <name val="Tahoma"/>
      <family val="2"/>
    </font>
    <font>
      <sz val="8"/>
      <color indexed="64"/>
      <name val="Tahoma"/>
      <family val="2"/>
    </font>
    <font>
      <sz val="7"/>
      <color indexed="8"/>
      <name val="Tahoma"/>
      <family val="2"/>
    </font>
    <font>
      <b/>
      <sz val="8"/>
      <color indexed="8"/>
      <name val="Tahoma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1" fillId="0" borderId="0" xfId="0" applyNumberFormat="1" applyFont="1" applyAlignment="1">
      <alignment horizontal="center" vertical="top"/>
    </xf>
    <xf numFmtId="4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right" vertical="top" wrapText="1"/>
    </xf>
    <xf numFmtId="49" fontId="4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 wrapText="1"/>
    </xf>
    <xf numFmtId="0" fontId="6" fillId="0" borderId="0" xfId="0" applyFont="1"/>
    <xf numFmtId="0" fontId="4" fillId="0" borderId="0" xfId="0" applyNumberFormat="1" applyFont="1" applyAlignment="1">
      <alignment vertical="top"/>
    </xf>
    <xf numFmtId="14" fontId="4" fillId="0" borderId="0" xfId="0" applyNumberFormat="1" applyFont="1" applyAlignment="1">
      <alignment horizontal="center" vertical="top"/>
    </xf>
    <xf numFmtId="4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49" fontId="5" fillId="0" borderId="0" xfId="0" applyNumberFormat="1" applyFont="1" applyAlignment="1">
      <alignment horizontal="center" vertical="top" wrapText="1"/>
    </xf>
    <xf numFmtId="49" fontId="5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7"/>
  <sheetViews>
    <sheetView topLeftCell="A652" workbookViewId="0">
      <selection activeCell="B658" sqref="B658"/>
    </sheetView>
  </sheetViews>
  <sheetFormatPr defaultRowHeight="12.75" x14ac:dyDescent="0.2"/>
  <cols>
    <col min="1" max="1" width="13.28515625" bestFit="1" customWidth="1"/>
    <col min="2" max="2" width="72.42578125" bestFit="1" customWidth="1"/>
  </cols>
  <sheetData>
    <row r="1" spans="1:2" x14ac:dyDescent="0.2">
      <c r="A1" t="s">
        <v>757</v>
      </c>
      <c r="B1" t="s">
        <v>756</v>
      </c>
    </row>
    <row r="2" spans="1:2" x14ac:dyDescent="0.2">
      <c r="A2" s="4">
        <v>505</v>
      </c>
      <c r="B2" t="s">
        <v>8</v>
      </c>
    </row>
    <row r="3" spans="1:2" x14ac:dyDescent="0.2">
      <c r="A3" s="4">
        <v>506</v>
      </c>
      <c r="B3" t="s">
        <v>9</v>
      </c>
    </row>
    <row r="4" spans="1:2" x14ac:dyDescent="0.2">
      <c r="A4" s="4">
        <v>512</v>
      </c>
      <c r="B4" t="s">
        <v>10</v>
      </c>
    </row>
    <row r="5" spans="1:2" x14ac:dyDescent="0.2">
      <c r="A5" s="4">
        <v>514</v>
      </c>
      <c r="B5" t="s">
        <v>11</v>
      </c>
    </row>
    <row r="6" spans="1:2" x14ac:dyDescent="0.2">
      <c r="A6" s="4">
        <v>516</v>
      </c>
      <c r="B6" t="s">
        <v>12</v>
      </c>
    </row>
    <row r="7" spans="1:2" x14ac:dyDescent="0.2">
      <c r="A7" s="4">
        <v>519</v>
      </c>
      <c r="B7" t="s">
        <v>13</v>
      </c>
    </row>
    <row r="8" spans="1:2" x14ac:dyDescent="0.2">
      <c r="A8" s="4">
        <v>520</v>
      </c>
      <c r="B8" t="s">
        <v>14</v>
      </c>
    </row>
    <row r="9" spans="1:2" x14ac:dyDescent="0.2">
      <c r="A9" s="4">
        <v>522</v>
      </c>
      <c r="B9" t="s">
        <v>15</v>
      </c>
    </row>
    <row r="10" spans="1:2" x14ac:dyDescent="0.2">
      <c r="A10" s="4">
        <v>524</v>
      </c>
      <c r="B10" t="s">
        <v>16</v>
      </c>
    </row>
    <row r="11" spans="1:2" x14ac:dyDescent="0.2">
      <c r="A11" s="4">
        <v>526</v>
      </c>
      <c r="B11" t="s">
        <v>17</v>
      </c>
    </row>
    <row r="12" spans="1:2" x14ac:dyDescent="0.2">
      <c r="A12" s="4">
        <v>528</v>
      </c>
      <c r="B12" t="s">
        <v>18</v>
      </c>
    </row>
    <row r="13" spans="1:2" x14ac:dyDescent="0.2">
      <c r="A13" s="4">
        <v>530</v>
      </c>
      <c r="B13" t="s">
        <v>19</v>
      </c>
    </row>
    <row r="14" spans="1:2" x14ac:dyDescent="0.2">
      <c r="A14" s="4">
        <v>531</v>
      </c>
      <c r="B14" t="s">
        <v>20</v>
      </c>
    </row>
    <row r="15" spans="1:2" x14ac:dyDescent="0.2">
      <c r="A15" s="4">
        <v>532</v>
      </c>
      <c r="B15" t="s">
        <v>21</v>
      </c>
    </row>
    <row r="16" spans="1:2" x14ac:dyDescent="0.2">
      <c r="A16" s="4">
        <v>534</v>
      </c>
      <c r="B16" t="s">
        <v>22</v>
      </c>
    </row>
    <row r="17" spans="1:2" x14ac:dyDescent="0.2">
      <c r="A17" s="4">
        <v>537</v>
      </c>
      <c r="B17" t="s">
        <v>23</v>
      </c>
    </row>
    <row r="18" spans="1:2" x14ac:dyDescent="0.2">
      <c r="A18" s="4">
        <v>539</v>
      </c>
      <c r="B18" t="s">
        <v>24</v>
      </c>
    </row>
    <row r="19" spans="1:2" x14ac:dyDescent="0.2">
      <c r="A19" s="4">
        <v>542</v>
      </c>
      <c r="B19" t="s">
        <v>25</v>
      </c>
    </row>
    <row r="20" spans="1:2" x14ac:dyDescent="0.2">
      <c r="A20" s="4">
        <v>543</v>
      </c>
      <c r="B20" t="s">
        <v>26</v>
      </c>
    </row>
    <row r="21" spans="1:2" x14ac:dyDescent="0.2">
      <c r="A21" s="4">
        <v>545</v>
      </c>
      <c r="B21" t="s">
        <v>27</v>
      </c>
    </row>
    <row r="22" spans="1:2" x14ac:dyDescent="0.2">
      <c r="A22" s="4">
        <v>550</v>
      </c>
      <c r="B22" t="s">
        <v>28</v>
      </c>
    </row>
    <row r="23" spans="1:2" x14ac:dyDescent="0.2">
      <c r="A23" s="4">
        <v>552</v>
      </c>
      <c r="B23" t="s">
        <v>29</v>
      </c>
    </row>
    <row r="24" spans="1:2" x14ac:dyDescent="0.2">
      <c r="A24" s="4">
        <v>553</v>
      </c>
      <c r="B24" t="s">
        <v>30</v>
      </c>
    </row>
    <row r="25" spans="1:2" x14ac:dyDescent="0.2">
      <c r="A25" s="4">
        <v>556</v>
      </c>
      <c r="B25" t="s">
        <v>31</v>
      </c>
    </row>
    <row r="26" spans="1:2" x14ac:dyDescent="0.2">
      <c r="A26" s="4">
        <v>561</v>
      </c>
      <c r="B26" t="s">
        <v>32</v>
      </c>
    </row>
    <row r="27" spans="1:2" x14ac:dyDescent="0.2">
      <c r="A27" s="4">
        <v>569</v>
      </c>
      <c r="B27" t="s">
        <v>33</v>
      </c>
    </row>
    <row r="28" spans="1:2" x14ac:dyDescent="0.2">
      <c r="A28" s="4">
        <v>571</v>
      </c>
      <c r="B28" t="s">
        <v>34</v>
      </c>
    </row>
    <row r="29" spans="1:2" x14ac:dyDescent="0.2">
      <c r="A29" s="4">
        <v>578</v>
      </c>
      <c r="B29" t="s">
        <v>35</v>
      </c>
    </row>
    <row r="30" spans="1:2" x14ac:dyDescent="0.2">
      <c r="A30" s="4">
        <v>588</v>
      </c>
      <c r="B30" t="s">
        <v>36</v>
      </c>
    </row>
    <row r="31" spans="1:2" x14ac:dyDescent="0.2">
      <c r="A31" s="4">
        <v>607</v>
      </c>
      <c r="B31" t="s">
        <v>37</v>
      </c>
    </row>
    <row r="32" spans="1:2" x14ac:dyDescent="0.2">
      <c r="A32" s="4">
        <v>610</v>
      </c>
      <c r="B32" t="s">
        <v>38</v>
      </c>
    </row>
    <row r="33" spans="1:2" x14ac:dyDescent="0.2">
      <c r="A33" s="4">
        <v>613</v>
      </c>
      <c r="B33" t="s">
        <v>39</v>
      </c>
    </row>
    <row r="34" spans="1:2" x14ac:dyDescent="0.2">
      <c r="A34" s="4">
        <v>617</v>
      </c>
      <c r="B34" t="s">
        <v>40</v>
      </c>
    </row>
    <row r="35" spans="1:2" x14ac:dyDescent="0.2">
      <c r="A35" s="4">
        <v>622</v>
      </c>
      <c r="B35" t="s">
        <v>41</v>
      </c>
    </row>
    <row r="36" spans="1:2" x14ac:dyDescent="0.2">
      <c r="A36" s="4">
        <v>628</v>
      </c>
      <c r="B36" t="s">
        <v>42</v>
      </c>
    </row>
    <row r="37" spans="1:2" x14ac:dyDescent="0.2">
      <c r="A37" s="4">
        <v>631</v>
      </c>
      <c r="B37" t="s">
        <v>43</v>
      </c>
    </row>
    <row r="38" spans="1:2" x14ac:dyDescent="0.2">
      <c r="A38" s="4">
        <v>632</v>
      </c>
      <c r="B38" t="s">
        <v>44</v>
      </c>
    </row>
    <row r="39" spans="1:2" x14ac:dyDescent="0.2">
      <c r="A39" s="4">
        <v>638</v>
      </c>
      <c r="B39" t="s">
        <v>45</v>
      </c>
    </row>
    <row r="40" spans="1:2" x14ac:dyDescent="0.2">
      <c r="A40" s="4">
        <v>643</v>
      </c>
      <c r="B40" t="s">
        <v>46</v>
      </c>
    </row>
    <row r="41" spans="1:2" x14ac:dyDescent="0.2">
      <c r="A41" s="4">
        <v>644</v>
      </c>
      <c r="B41" t="s">
        <v>47</v>
      </c>
    </row>
    <row r="42" spans="1:2" x14ac:dyDescent="0.2">
      <c r="A42" s="4">
        <v>645</v>
      </c>
      <c r="B42" t="s">
        <v>48</v>
      </c>
    </row>
    <row r="43" spans="1:2" x14ac:dyDescent="0.2">
      <c r="A43" s="4">
        <v>647</v>
      </c>
      <c r="B43" t="s">
        <v>49</v>
      </c>
    </row>
    <row r="44" spans="1:2" x14ac:dyDescent="0.2">
      <c r="A44" s="4">
        <v>655</v>
      </c>
      <c r="B44" t="s">
        <v>50</v>
      </c>
    </row>
    <row r="45" spans="1:2" x14ac:dyDescent="0.2">
      <c r="A45" s="4">
        <v>659</v>
      </c>
      <c r="B45" t="s">
        <v>51</v>
      </c>
    </row>
    <row r="46" spans="1:2" x14ac:dyDescent="0.2">
      <c r="A46" s="4">
        <v>660</v>
      </c>
      <c r="B46" t="s">
        <v>52</v>
      </c>
    </row>
    <row r="47" spans="1:2" x14ac:dyDescent="0.2">
      <c r="A47" s="4">
        <v>670</v>
      </c>
      <c r="B47" t="s">
        <v>53</v>
      </c>
    </row>
    <row r="48" spans="1:2" x14ac:dyDescent="0.2">
      <c r="A48" s="4">
        <v>676</v>
      </c>
      <c r="B48" t="s">
        <v>54</v>
      </c>
    </row>
    <row r="49" spans="1:2" x14ac:dyDescent="0.2">
      <c r="A49" s="4">
        <v>687</v>
      </c>
      <c r="B49" t="s">
        <v>55</v>
      </c>
    </row>
    <row r="50" spans="1:2" x14ac:dyDescent="0.2">
      <c r="A50" s="4">
        <v>691</v>
      </c>
      <c r="B50" t="s">
        <v>56</v>
      </c>
    </row>
    <row r="51" spans="1:2" x14ac:dyDescent="0.2">
      <c r="A51" s="4">
        <v>782</v>
      </c>
      <c r="B51" t="s">
        <v>57</v>
      </c>
    </row>
    <row r="52" spans="1:2" x14ac:dyDescent="0.2">
      <c r="A52" s="4">
        <v>789</v>
      </c>
      <c r="B52" t="s">
        <v>58</v>
      </c>
    </row>
    <row r="53" spans="1:2" x14ac:dyDescent="0.2">
      <c r="A53" s="4">
        <v>797</v>
      </c>
      <c r="B53" t="s">
        <v>59</v>
      </c>
    </row>
    <row r="54" spans="1:2" x14ac:dyDescent="0.2">
      <c r="A54" s="4">
        <v>1289</v>
      </c>
      <c r="B54" t="s">
        <v>60</v>
      </c>
    </row>
    <row r="55" spans="1:2" x14ac:dyDescent="0.2">
      <c r="A55" s="4">
        <v>1290</v>
      </c>
      <c r="B55" t="s">
        <v>61</v>
      </c>
    </row>
    <row r="56" spans="1:2" x14ac:dyDescent="0.2">
      <c r="A56" s="4">
        <v>1291</v>
      </c>
      <c r="B56" t="s">
        <v>62</v>
      </c>
    </row>
    <row r="57" spans="1:2" x14ac:dyDescent="0.2">
      <c r="A57" s="4">
        <v>1292</v>
      </c>
      <c r="B57" t="s">
        <v>63</v>
      </c>
    </row>
    <row r="58" spans="1:2" x14ac:dyDescent="0.2">
      <c r="A58" s="4">
        <v>1293</v>
      </c>
      <c r="B58" t="s">
        <v>64</v>
      </c>
    </row>
    <row r="59" spans="1:2" x14ac:dyDescent="0.2">
      <c r="A59" s="4">
        <v>1294</v>
      </c>
      <c r="B59" t="s">
        <v>65</v>
      </c>
    </row>
    <row r="60" spans="1:2" x14ac:dyDescent="0.2">
      <c r="A60" s="4">
        <v>1295</v>
      </c>
      <c r="B60" t="s">
        <v>66</v>
      </c>
    </row>
    <row r="61" spans="1:2" x14ac:dyDescent="0.2">
      <c r="A61" s="4">
        <v>1296</v>
      </c>
      <c r="B61" t="s">
        <v>67</v>
      </c>
    </row>
    <row r="62" spans="1:2" x14ac:dyDescent="0.2">
      <c r="A62" s="4">
        <v>1297</v>
      </c>
      <c r="B62" t="s">
        <v>68</v>
      </c>
    </row>
    <row r="63" spans="1:2" x14ac:dyDescent="0.2">
      <c r="A63" s="4">
        <v>1298</v>
      </c>
      <c r="B63" t="s">
        <v>69</v>
      </c>
    </row>
    <row r="64" spans="1:2" x14ac:dyDescent="0.2">
      <c r="A64" s="4">
        <v>1299</v>
      </c>
      <c r="B64" t="s">
        <v>70</v>
      </c>
    </row>
    <row r="65" spans="1:2" x14ac:dyDescent="0.2">
      <c r="A65" s="4">
        <v>1300</v>
      </c>
      <c r="B65" t="s">
        <v>71</v>
      </c>
    </row>
    <row r="66" spans="1:2" x14ac:dyDescent="0.2">
      <c r="A66" s="4">
        <v>1301</v>
      </c>
      <c r="B66" t="s">
        <v>72</v>
      </c>
    </row>
    <row r="67" spans="1:2" x14ac:dyDescent="0.2">
      <c r="A67" s="4">
        <v>1302</v>
      </c>
      <c r="B67" t="s">
        <v>73</v>
      </c>
    </row>
    <row r="68" spans="1:2" x14ac:dyDescent="0.2">
      <c r="A68" s="4">
        <v>1303</v>
      </c>
      <c r="B68" t="s">
        <v>74</v>
      </c>
    </row>
    <row r="69" spans="1:2" x14ac:dyDescent="0.2">
      <c r="A69" s="4">
        <v>1304</v>
      </c>
      <c r="B69" t="s">
        <v>75</v>
      </c>
    </row>
    <row r="70" spans="1:2" x14ac:dyDescent="0.2">
      <c r="A70" s="4">
        <v>1305</v>
      </c>
      <c r="B70" t="s">
        <v>76</v>
      </c>
    </row>
    <row r="71" spans="1:2" x14ac:dyDescent="0.2">
      <c r="A71" s="4">
        <v>1306</v>
      </c>
      <c r="B71" t="s">
        <v>77</v>
      </c>
    </row>
    <row r="72" spans="1:2" x14ac:dyDescent="0.2">
      <c r="A72" s="4">
        <v>1307</v>
      </c>
      <c r="B72" t="s">
        <v>78</v>
      </c>
    </row>
    <row r="73" spans="1:2" x14ac:dyDescent="0.2">
      <c r="A73" s="4">
        <v>1308</v>
      </c>
      <c r="B73" t="s">
        <v>79</v>
      </c>
    </row>
    <row r="74" spans="1:2" x14ac:dyDescent="0.2">
      <c r="A74" s="4">
        <v>1311</v>
      </c>
      <c r="B74" t="s">
        <v>80</v>
      </c>
    </row>
    <row r="75" spans="1:2" x14ac:dyDescent="0.2">
      <c r="A75" s="4">
        <v>1312</v>
      </c>
      <c r="B75" t="s">
        <v>81</v>
      </c>
    </row>
    <row r="76" spans="1:2" x14ac:dyDescent="0.2">
      <c r="A76" s="4">
        <v>1313</v>
      </c>
      <c r="B76" t="s">
        <v>82</v>
      </c>
    </row>
    <row r="77" spans="1:2" x14ac:dyDescent="0.2">
      <c r="A77" s="4">
        <v>1314</v>
      </c>
      <c r="B77" t="s">
        <v>83</v>
      </c>
    </row>
    <row r="78" spans="1:2" x14ac:dyDescent="0.2">
      <c r="A78" s="4">
        <v>1315</v>
      </c>
      <c r="B78" t="s">
        <v>84</v>
      </c>
    </row>
    <row r="79" spans="1:2" x14ac:dyDescent="0.2">
      <c r="A79" s="4">
        <v>1316</v>
      </c>
      <c r="B79" t="s">
        <v>85</v>
      </c>
    </row>
    <row r="80" spans="1:2" x14ac:dyDescent="0.2">
      <c r="A80" s="4">
        <v>1317</v>
      </c>
      <c r="B80" t="s">
        <v>86</v>
      </c>
    </row>
    <row r="81" spans="1:2" x14ac:dyDescent="0.2">
      <c r="A81" s="4">
        <v>1318</v>
      </c>
      <c r="B81" t="s">
        <v>87</v>
      </c>
    </row>
    <row r="82" spans="1:2" x14ac:dyDescent="0.2">
      <c r="A82" s="4">
        <v>1319</v>
      </c>
      <c r="B82" t="s">
        <v>88</v>
      </c>
    </row>
    <row r="83" spans="1:2" x14ac:dyDescent="0.2">
      <c r="A83" s="4">
        <v>1320</v>
      </c>
      <c r="B83" t="s">
        <v>89</v>
      </c>
    </row>
    <row r="84" spans="1:2" x14ac:dyDescent="0.2">
      <c r="A84" s="4">
        <v>1321</v>
      </c>
      <c r="B84" t="s">
        <v>90</v>
      </c>
    </row>
    <row r="85" spans="1:2" x14ac:dyDescent="0.2">
      <c r="A85" s="4">
        <v>1322</v>
      </c>
      <c r="B85" t="s">
        <v>91</v>
      </c>
    </row>
    <row r="86" spans="1:2" x14ac:dyDescent="0.2">
      <c r="A86" s="4">
        <v>1323</v>
      </c>
      <c r="B86" t="s">
        <v>92</v>
      </c>
    </row>
    <row r="87" spans="1:2" x14ac:dyDescent="0.2">
      <c r="A87" s="4">
        <v>1324</v>
      </c>
      <c r="B87" t="s">
        <v>93</v>
      </c>
    </row>
    <row r="88" spans="1:2" x14ac:dyDescent="0.2">
      <c r="A88" s="4">
        <v>1325</v>
      </c>
      <c r="B88" t="s">
        <v>94</v>
      </c>
    </row>
    <row r="89" spans="1:2" x14ac:dyDescent="0.2">
      <c r="A89" s="4">
        <v>1326</v>
      </c>
      <c r="B89" t="s">
        <v>95</v>
      </c>
    </row>
    <row r="90" spans="1:2" x14ac:dyDescent="0.2">
      <c r="A90" s="4">
        <v>1327</v>
      </c>
      <c r="B90" t="s">
        <v>96</v>
      </c>
    </row>
    <row r="91" spans="1:2" x14ac:dyDescent="0.2">
      <c r="A91" s="4">
        <v>1328</v>
      </c>
      <c r="B91" t="s">
        <v>97</v>
      </c>
    </row>
    <row r="92" spans="1:2" x14ac:dyDescent="0.2">
      <c r="A92" s="4">
        <v>1329</v>
      </c>
      <c r="B92" t="s">
        <v>98</v>
      </c>
    </row>
    <row r="93" spans="1:2" x14ac:dyDescent="0.2">
      <c r="A93" s="4">
        <v>1330</v>
      </c>
      <c r="B93" t="s">
        <v>99</v>
      </c>
    </row>
    <row r="94" spans="1:2" x14ac:dyDescent="0.2">
      <c r="A94" s="4">
        <v>1331</v>
      </c>
      <c r="B94" t="s">
        <v>100</v>
      </c>
    </row>
    <row r="95" spans="1:2" x14ac:dyDescent="0.2">
      <c r="A95" s="4">
        <v>1332</v>
      </c>
      <c r="B95" t="s">
        <v>101</v>
      </c>
    </row>
    <row r="96" spans="1:2" x14ac:dyDescent="0.2">
      <c r="A96" s="4">
        <v>1333</v>
      </c>
      <c r="B96" t="s">
        <v>102</v>
      </c>
    </row>
    <row r="97" spans="1:2" x14ac:dyDescent="0.2">
      <c r="A97" s="4">
        <v>1334</v>
      </c>
      <c r="B97" t="s">
        <v>103</v>
      </c>
    </row>
    <row r="98" spans="1:2" x14ac:dyDescent="0.2">
      <c r="A98" s="4">
        <v>1335</v>
      </c>
      <c r="B98" t="s">
        <v>104</v>
      </c>
    </row>
    <row r="99" spans="1:2" x14ac:dyDescent="0.2">
      <c r="A99" s="4">
        <v>1336</v>
      </c>
      <c r="B99" t="s">
        <v>105</v>
      </c>
    </row>
    <row r="100" spans="1:2" x14ac:dyDescent="0.2">
      <c r="A100" s="4">
        <v>1337</v>
      </c>
      <c r="B100" t="s">
        <v>106</v>
      </c>
    </row>
    <row r="101" spans="1:2" x14ac:dyDescent="0.2">
      <c r="A101" s="4">
        <v>1338</v>
      </c>
      <c r="B101" t="s">
        <v>107</v>
      </c>
    </row>
    <row r="102" spans="1:2" x14ac:dyDescent="0.2">
      <c r="A102" s="4">
        <v>1339</v>
      </c>
      <c r="B102" t="s">
        <v>108</v>
      </c>
    </row>
    <row r="103" spans="1:2" x14ac:dyDescent="0.2">
      <c r="A103" s="4">
        <v>1340</v>
      </c>
      <c r="B103" t="s">
        <v>109</v>
      </c>
    </row>
    <row r="104" spans="1:2" x14ac:dyDescent="0.2">
      <c r="A104" s="4">
        <v>1341</v>
      </c>
      <c r="B104" t="s">
        <v>110</v>
      </c>
    </row>
    <row r="105" spans="1:2" x14ac:dyDescent="0.2">
      <c r="A105" s="4">
        <v>1342</v>
      </c>
      <c r="B105" t="s">
        <v>111</v>
      </c>
    </row>
    <row r="106" spans="1:2" x14ac:dyDescent="0.2">
      <c r="A106" s="4">
        <v>1343</v>
      </c>
      <c r="B106" t="s">
        <v>112</v>
      </c>
    </row>
    <row r="107" spans="1:2" x14ac:dyDescent="0.2">
      <c r="A107" s="4">
        <v>1344</v>
      </c>
      <c r="B107" t="s">
        <v>113</v>
      </c>
    </row>
    <row r="108" spans="1:2" x14ac:dyDescent="0.2">
      <c r="A108" s="4">
        <v>1345</v>
      </c>
      <c r="B108" t="s">
        <v>114</v>
      </c>
    </row>
    <row r="109" spans="1:2" x14ac:dyDescent="0.2">
      <c r="A109" s="4">
        <v>1346</v>
      </c>
      <c r="B109" t="s">
        <v>115</v>
      </c>
    </row>
    <row r="110" spans="1:2" x14ac:dyDescent="0.2">
      <c r="A110" s="4">
        <v>1347</v>
      </c>
      <c r="B110" t="s">
        <v>116</v>
      </c>
    </row>
    <row r="111" spans="1:2" x14ac:dyDescent="0.2">
      <c r="A111" s="4">
        <v>1348</v>
      </c>
      <c r="B111" t="s">
        <v>117</v>
      </c>
    </row>
    <row r="112" spans="1:2" x14ac:dyDescent="0.2">
      <c r="A112" s="4">
        <v>1349</v>
      </c>
      <c r="B112" t="s">
        <v>118</v>
      </c>
    </row>
    <row r="113" spans="1:2" x14ac:dyDescent="0.2">
      <c r="A113" s="4">
        <v>1350</v>
      </c>
      <c r="B113" t="s">
        <v>119</v>
      </c>
    </row>
    <row r="114" spans="1:2" x14ac:dyDescent="0.2">
      <c r="A114" s="4">
        <v>1351</v>
      </c>
      <c r="B114" t="s">
        <v>120</v>
      </c>
    </row>
    <row r="115" spans="1:2" x14ac:dyDescent="0.2">
      <c r="A115" s="4">
        <v>1352</v>
      </c>
      <c r="B115" t="s">
        <v>121</v>
      </c>
    </row>
    <row r="116" spans="1:2" x14ac:dyDescent="0.2">
      <c r="A116" s="4">
        <v>1353</v>
      </c>
      <c r="B116" t="s">
        <v>122</v>
      </c>
    </row>
    <row r="117" spans="1:2" x14ac:dyDescent="0.2">
      <c r="A117" s="4">
        <v>1354</v>
      </c>
      <c r="B117" t="s">
        <v>123</v>
      </c>
    </row>
    <row r="118" spans="1:2" x14ac:dyDescent="0.2">
      <c r="A118" s="4">
        <v>1355</v>
      </c>
      <c r="B118" t="s">
        <v>124</v>
      </c>
    </row>
    <row r="119" spans="1:2" x14ac:dyDescent="0.2">
      <c r="A119" s="4">
        <v>1358</v>
      </c>
      <c r="B119" t="s">
        <v>125</v>
      </c>
    </row>
    <row r="120" spans="1:2" x14ac:dyDescent="0.2">
      <c r="A120" s="4">
        <v>1359</v>
      </c>
      <c r="B120" t="s">
        <v>126</v>
      </c>
    </row>
    <row r="121" spans="1:2" x14ac:dyDescent="0.2">
      <c r="A121" s="4">
        <v>1360</v>
      </c>
      <c r="B121" t="s">
        <v>127</v>
      </c>
    </row>
    <row r="122" spans="1:2" x14ac:dyDescent="0.2">
      <c r="A122" s="4">
        <v>1362</v>
      </c>
      <c r="B122" t="s">
        <v>128</v>
      </c>
    </row>
    <row r="123" spans="1:2" x14ac:dyDescent="0.2">
      <c r="A123" s="4">
        <v>1363</v>
      </c>
      <c r="B123" t="s">
        <v>129</v>
      </c>
    </row>
    <row r="124" spans="1:2" x14ac:dyDescent="0.2">
      <c r="A124" s="4">
        <v>1364</v>
      </c>
      <c r="B124" t="s">
        <v>130</v>
      </c>
    </row>
    <row r="125" spans="1:2" x14ac:dyDescent="0.2">
      <c r="A125" s="4">
        <v>1366</v>
      </c>
      <c r="B125" t="s">
        <v>131</v>
      </c>
    </row>
    <row r="126" spans="1:2" x14ac:dyDescent="0.2">
      <c r="A126" s="4">
        <v>1367</v>
      </c>
      <c r="B126" t="s">
        <v>132</v>
      </c>
    </row>
    <row r="127" spans="1:2" x14ac:dyDescent="0.2">
      <c r="A127" s="4">
        <v>1368</v>
      </c>
      <c r="B127" t="s">
        <v>133</v>
      </c>
    </row>
    <row r="128" spans="1:2" x14ac:dyDescent="0.2">
      <c r="A128" s="4">
        <v>1369</v>
      </c>
      <c r="B128" t="s">
        <v>134</v>
      </c>
    </row>
    <row r="129" spans="1:2" x14ac:dyDescent="0.2">
      <c r="A129" s="4">
        <v>1370</v>
      </c>
      <c r="B129" t="s">
        <v>135</v>
      </c>
    </row>
    <row r="130" spans="1:2" x14ac:dyDescent="0.2">
      <c r="A130" s="4">
        <v>1371</v>
      </c>
      <c r="B130" t="s">
        <v>136</v>
      </c>
    </row>
    <row r="131" spans="1:2" x14ac:dyDescent="0.2">
      <c r="A131" s="4">
        <v>1372</v>
      </c>
      <c r="B131" t="s">
        <v>137</v>
      </c>
    </row>
    <row r="132" spans="1:2" x14ac:dyDescent="0.2">
      <c r="A132" s="4">
        <v>1373</v>
      </c>
      <c r="B132" t="s">
        <v>138</v>
      </c>
    </row>
    <row r="133" spans="1:2" x14ac:dyDescent="0.2">
      <c r="A133" s="4">
        <v>1374</v>
      </c>
      <c r="B133" t="s">
        <v>139</v>
      </c>
    </row>
    <row r="134" spans="1:2" x14ac:dyDescent="0.2">
      <c r="A134" s="4">
        <v>1375</v>
      </c>
      <c r="B134" t="s">
        <v>140</v>
      </c>
    </row>
    <row r="135" spans="1:2" x14ac:dyDescent="0.2">
      <c r="A135" s="4">
        <v>1376</v>
      </c>
      <c r="B135" t="s">
        <v>141</v>
      </c>
    </row>
    <row r="136" spans="1:2" x14ac:dyDescent="0.2">
      <c r="A136" s="4">
        <v>1377</v>
      </c>
      <c r="B136" t="s">
        <v>142</v>
      </c>
    </row>
    <row r="137" spans="1:2" x14ac:dyDescent="0.2">
      <c r="A137" s="4">
        <v>1378</v>
      </c>
      <c r="B137" t="s">
        <v>143</v>
      </c>
    </row>
    <row r="138" spans="1:2" x14ac:dyDescent="0.2">
      <c r="A138" s="4">
        <v>1379</v>
      </c>
      <c r="B138" t="s">
        <v>144</v>
      </c>
    </row>
    <row r="139" spans="1:2" x14ac:dyDescent="0.2">
      <c r="A139" s="4">
        <v>1380</v>
      </c>
      <c r="B139" t="s">
        <v>145</v>
      </c>
    </row>
    <row r="140" spans="1:2" x14ac:dyDescent="0.2">
      <c r="A140" s="4">
        <v>1381</v>
      </c>
      <c r="B140" t="s">
        <v>146</v>
      </c>
    </row>
    <row r="141" spans="1:2" x14ac:dyDescent="0.2">
      <c r="A141" s="4">
        <v>1382</v>
      </c>
      <c r="B141" t="s">
        <v>147</v>
      </c>
    </row>
    <row r="142" spans="1:2" x14ac:dyDescent="0.2">
      <c r="A142" s="4">
        <v>1383</v>
      </c>
      <c r="B142" t="s">
        <v>148</v>
      </c>
    </row>
    <row r="143" spans="1:2" x14ac:dyDescent="0.2">
      <c r="A143" s="4">
        <v>1384</v>
      </c>
      <c r="B143" t="s">
        <v>149</v>
      </c>
    </row>
    <row r="144" spans="1:2" x14ac:dyDescent="0.2">
      <c r="A144" s="4">
        <v>1385</v>
      </c>
      <c r="B144" t="s">
        <v>150</v>
      </c>
    </row>
    <row r="145" spans="1:2" x14ac:dyDescent="0.2">
      <c r="A145" s="4">
        <v>1386</v>
      </c>
      <c r="B145" t="s">
        <v>151</v>
      </c>
    </row>
    <row r="146" spans="1:2" x14ac:dyDescent="0.2">
      <c r="A146" s="4">
        <v>1387</v>
      </c>
      <c r="B146" t="s">
        <v>152</v>
      </c>
    </row>
    <row r="147" spans="1:2" x14ac:dyDescent="0.2">
      <c r="A147" s="4">
        <v>1388</v>
      </c>
      <c r="B147" t="s">
        <v>153</v>
      </c>
    </row>
    <row r="148" spans="1:2" x14ac:dyDescent="0.2">
      <c r="A148" s="4">
        <v>1389</v>
      </c>
      <c r="B148" t="s">
        <v>154</v>
      </c>
    </row>
    <row r="149" spans="1:2" x14ac:dyDescent="0.2">
      <c r="A149" s="4">
        <v>1390</v>
      </c>
      <c r="B149" t="s">
        <v>155</v>
      </c>
    </row>
    <row r="150" spans="1:2" x14ac:dyDescent="0.2">
      <c r="A150" s="4">
        <v>1392</v>
      </c>
      <c r="B150" t="s">
        <v>156</v>
      </c>
    </row>
    <row r="151" spans="1:2" x14ac:dyDescent="0.2">
      <c r="A151" s="4">
        <v>1393</v>
      </c>
      <c r="B151" t="s">
        <v>157</v>
      </c>
    </row>
    <row r="152" spans="1:2" x14ac:dyDescent="0.2">
      <c r="A152" s="4">
        <v>1394</v>
      </c>
      <c r="B152" t="s">
        <v>158</v>
      </c>
    </row>
    <row r="153" spans="1:2" x14ac:dyDescent="0.2">
      <c r="A153" s="4">
        <v>1395</v>
      </c>
      <c r="B153" t="s">
        <v>159</v>
      </c>
    </row>
    <row r="154" spans="1:2" x14ac:dyDescent="0.2">
      <c r="A154" s="4">
        <v>1396</v>
      </c>
      <c r="B154" t="s">
        <v>160</v>
      </c>
    </row>
    <row r="155" spans="1:2" x14ac:dyDescent="0.2">
      <c r="A155" s="4">
        <v>1397</v>
      </c>
      <c r="B155" t="s">
        <v>161</v>
      </c>
    </row>
    <row r="156" spans="1:2" x14ac:dyDescent="0.2">
      <c r="A156" s="4">
        <v>1398</v>
      </c>
      <c r="B156" t="s">
        <v>162</v>
      </c>
    </row>
    <row r="157" spans="1:2" x14ac:dyDescent="0.2">
      <c r="A157" s="4">
        <v>1399</v>
      </c>
      <c r="B157" t="s">
        <v>163</v>
      </c>
    </row>
    <row r="158" spans="1:2" x14ac:dyDescent="0.2">
      <c r="A158" s="4">
        <v>1400</v>
      </c>
      <c r="B158" t="s">
        <v>164</v>
      </c>
    </row>
    <row r="159" spans="1:2" x14ac:dyDescent="0.2">
      <c r="A159" s="4">
        <v>1401</v>
      </c>
      <c r="B159" t="s">
        <v>165</v>
      </c>
    </row>
    <row r="160" spans="1:2" x14ac:dyDescent="0.2">
      <c r="A160" s="4">
        <v>1402</v>
      </c>
      <c r="B160" t="s">
        <v>166</v>
      </c>
    </row>
    <row r="161" spans="1:2" x14ac:dyDescent="0.2">
      <c r="A161" s="4">
        <v>1403</v>
      </c>
      <c r="B161" t="s">
        <v>167</v>
      </c>
    </row>
    <row r="162" spans="1:2" x14ac:dyDescent="0.2">
      <c r="A162" s="4">
        <v>1404</v>
      </c>
      <c r="B162" t="s">
        <v>168</v>
      </c>
    </row>
    <row r="163" spans="1:2" x14ac:dyDescent="0.2">
      <c r="A163" s="4">
        <v>1405</v>
      </c>
      <c r="B163" t="s">
        <v>169</v>
      </c>
    </row>
    <row r="164" spans="1:2" x14ac:dyDescent="0.2">
      <c r="A164" s="4">
        <v>1406</v>
      </c>
      <c r="B164" t="s">
        <v>170</v>
      </c>
    </row>
    <row r="165" spans="1:2" x14ac:dyDescent="0.2">
      <c r="A165" s="4">
        <v>1408</v>
      </c>
      <c r="B165" t="s">
        <v>171</v>
      </c>
    </row>
    <row r="166" spans="1:2" x14ac:dyDescent="0.2">
      <c r="A166" s="4">
        <v>1409</v>
      </c>
      <c r="B166" t="s">
        <v>172</v>
      </c>
    </row>
    <row r="167" spans="1:2" x14ac:dyDescent="0.2">
      <c r="A167" s="4">
        <v>1410</v>
      </c>
      <c r="B167" t="s">
        <v>173</v>
      </c>
    </row>
    <row r="168" spans="1:2" x14ac:dyDescent="0.2">
      <c r="A168" s="4">
        <v>1411</v>
      </c>
      <c r="B168" t="s">
        <v>174</v>
      </c>
    </row>
    <row r="169" spans="1:2" x14ac:dyDescent="0.2">
      <c r="A169" s="4">
        <v>1412</v>
      </c>
      <c r="B169" t="s">
        <v>175</v>
      </c>
    </row>
    <row r="170" spans="1:2" x14ac:dyDescent="0.2">
      <c r="A170" s="4">
        <v>1413</v>
      </c>
      <c r="B170" t="s">
        <v>176</v>
      </c>
    </row>
    <row r="171" spans="1:2" x14ac:dyDescent="0.2">
      <c r="A171" s="4">
        <v>1414</v>
      </c>
      <c r="B171" t="s">
        <v>177</v>
      </c>
    </row>
    <row r="172" spans="1:2" x14ac:dyDescent="0.2">
      <c r="A172" s="4">
        <v>1415</v>
      </c>
      <c r="B172" t="s">
        <v>178</v>
      </c>
    </row>
    <row r="173" spans="1:2" x14ac:dyDescent="0.2">
      <c r="A173" s="4">
        <v>1416</v>
      </c>
      <c r="B173" t="s">
        <v>179</v>
      </c>
    </row>
    <row r="174" spans="1:2" x14ac:dyDescent="0.2">
      <c r="A174" s="4">
        <v>1417</v>
      </c>
      <c r="B174" t="s">
        <v>180</v>
      </c>
    </row>
    <row r="175" spans="1:2" x14ac:dyDescent="0.2">
      <c r="A175" s="4">
        <v>1418</v>
      </c>
      <c r="B175" t="s">
        <v>181</v>
      </c>
    </row>
    <row r="176" spans="1:2" x14ac:dyDescent="0.2">
      <c r="A176" s="4">
        <v>1419</v>
      </c>
      <c r="B176" t="s">
        <v>182</v>
      </c>
    </row>
    <row r="177" spans="1:2" x14ac:dyDescent="0.2">
      <c r="A177" s="4">
        <v>1420</v>
      </c>
      <c r="B177" t="s">
        <v>183</v>
      </c>
    </row>
    <row r="178" spans="1:2" x14ac:dyDescent="0.2">
      <c r="A178" s="4">
        <v>1421</v>
      </c>
      <c r="B178" t="s">
        <v>184</v>
      </c>
    </row>
    <row r="179" spans="1:2" x14ac:dyDescent="0.2">
      <c r="A179" s="4">
        <v>1422</v>
      </c>
      <c r="B179" t="s">
        <v>185</v>
      </c>
    </row>
    <row r="180" spans="1:2" x14ac:dyDescent="0.2">
      <c r="A180" s="4">
        <v>1423</v>
      </c>
      <c r="B180" t="s">
        <v>186</v>
      </c>
    </row>
    <row r="181" spans="1:2" x14ac:dyDescent="0.2">
      <c r="A181" s="4">
        <v>1424</v>
      </c>
      <c r="B181" t="s">
        <v>187</v>
      </c>
    </row>
    <row r="182" spans="1:2" x14ac:dyDescent="0.2">
      <c r="A182" s="4">
        <v>1425</v>
      </c>
      <c r="B182" t="s">
        <v>188</v>
      </c>
    </row>
    <row r="183" spans="1:2" x14ac:dyDescent="0.2">
      <c r="A183" s="4">
        <v>1426</v>
      </c>
      <c r="B183" t="s">
        <v>189</v>
      </c>
    </row>
    <row r="184" spans="1:2" x14ac:dyDescent="0.2">
      <c r="A184" s="4">
        <v>1427</v>
      </c>
      <c r="B184" t="s">
        <v>190</v>
      </c>
    </row>
    <row r="185" spans="1:2" x14ac:dyDescent="0.2">
      <c r="A185" s="4">
        <v>1428</v>
      </c>
      <c r="B185" t="s">
        <v>191</v>
      </c>
    </row>
    <row r="186" spans="1:2" x14ac:dyDescent="0.2">
      <c r="A186" s="4">
        <v>1429</v>
      </c>
      <c r="B186" t="s">
        <v>192</v>
      </c>
    </row>
    <row r="187" spans="1:2" x14ac:dyDescent="0.2">
      <c r="A187" s="4">
        <v>1430</v>
      </c>
      <c r="B187" t="s">
        <v>193</v>
      </c>
    </row>
    <row r="188" spans="1:2" x14ac:dyDescent="0.2">
      <c r="A188" s="4">
        <v>1431</v>
      </c>
      <c r="B188" t="s">
        <v>194</v>
      </c>
    </row>
    <row r="189" spans="1:2" x14ac:dyDescent="0.2">
      <c r="A189" s="4">
        <v>1432</v>
      </c>
      <c r="B189" t="s">
        <v>195</v>
      </c>
    </row>
    <row r="190" spans="1:2" x14ac:dyDescent="0.2">
      <c r="A190" s="4">
        <v>1433</v>
      </c>
      <c r="B190" t="s">
        <v>196</v>
      </c>
    </row>
    <row r="191" spans="1:2" x14ac:dyDescent="0.2">
      <c r="A191" s="4">
        <v>1434</v>
      </c>
      <c r="B191" t="s">
        <v>197</v>
      </c>
    </row>
    <row r="192" spans="1:2" x14ac:dyDescent="0.2">
      <c r="A192" s="4">
        <v>1435</v>
      </c>
      <c r="B192" t="s">
        <v>198</v>
      </c>
    </row>
    <row r="193" spans="1:2" x14ac:dyDescent="0.2">
      <c r="A193" s="4">
        <v>1436</v>
      </c>
      <c r="B193" t="s">
        <v>199</v>
      </c>
    </row>
    <row r="194" spans="1:2" x14ac:dyDescent="0.2">
      <c r="A194" s="4">
        <v>1437</v>
      </c>
      <c r="B194" t="s">
        <v>200</v>
      </c>
    </row>
    <row r="195" spans="1:2" x14ac:dyDescent="0.2">
      <c r="A195" s="4">
        <v>1438</v>
      </c>
      <c r="B195" t="s">
        <v>201</v>
      </c>
    </row>
    <row r="196" spans="1:2" x14ac:dyDescent="0.2">
      <c r="A196" s="4">
        <v>1439</v>
      </c>
      <c r="B196" t="s">
        <v>202</v>
      </c>
    </row>
    <row r="197" spans="1:2" x14ac:dyDescent="0.2">
      <c r="A197" s="4">
        <v>1440</v>
      </c>
      <c r="B197" t="s">
        <v>203</v>
      </c>
    </row>
    <row r="198" spans="1:2" x14ac:dyDescent="0.2">
      <c r="A198" s="4">
        <v>1441</v>
      </c>
      <c r="B198" t="s">
        <v>204</v>
      </c>
    </row>
    <row r="199" spans="1:2" x14ac:dyDescent="0.2">
      <c r="A199" s="4">
        <v>1442</v>
      </c>
      <c r="B199" t="s">
        <v>205</v>
      </c>
    </row>
    <row r="200" spans="1:2" x14ac:dyDescent="0.2">
      <c r="A200" s="4">
        <v>1443</v>
      </c>
      <c r="B200" t="s">
        <v>206</v>
      </c>
    </row>
    <row r="201" spans="1:2" x14ac:dyDescent="0.2">
      <c r="A201" s="4">
        <v>1446</v>
      </c>
      <c r="B201" t="s">
        <v>207</v>
      </c>
    </row>
    <row r="202" spans="1:2" x14ac:dyDescent="0.2">
      <c r="A202" s="4">
        <v>1447</v>
      </c>
      <c r="B202" t="s">
        <v>208</v>
      </c>
    </row>
    <row r="203" spans="1:2" x14ac:dyDescent="0.2">
      <c r="A203" s="4">
        <v>1448</v>
      </c>
      <c r="B203" t="s">
        <v>209</v>
      </c>
    </row>
    <row r="204" spans="1:2" x14ac:dyDescent="0.2">
      <c r="A204" s="4">
        <v>1449</v>
      </c>
      <c r="B204" t="s">
        <v>210</v>
      </c>
    </row>
    <row r="205" spans="1:2" x14ac:dyDescent="0.2">
      <c r="A205" s="4">
        <v>1450</v>
      </c>
      <c r="B205" t="s">
        <v>211</v>
      </c>
    </row>
    <row r="206" spans="1:2" x14ac:dyDescent="0.2">
      <c r="A206" s="4">
        <v>1454</v>
      </c>
      <c r="B206" t="s">
        <v>212</v>
      </c>
    </row>
    <row r="207" spans="1:2" x14ac:dyDescent="0.2">
      <c r="A207" s="4">
        <v>1455</v>
      </c>
      <c r="B207" t="s">
        <v>213</v>
      </c>
    </row>
    <row r="208" spans="1:2" x14ac:dyDescent="0.2">
      <c r="A208" s="4">
        <v>1456</v>
      </c>
      <c r="B208" t="s">
        <v>214</v>
      </c>
    </row>
    <row r="209" spans="1:2" x14ac:dyDescent="0.2">
      <c r="A209" s="4">
        <v>1457</v>
      </c>
      <c r="B209" t="s">
        <v>215</v>
      </c>
    </row>
    <row r="210" spans="1:2" x14ac:dyDescent="0.2">
      <c r="A210" s="4">
        <v>1458</v>
      </c>
      <c r="B210" t="s">
        <v>216</v>
      </c>
    </row>
    <row r="211" spans="1:2" x14ac:dyDescent="0.2">
      <c r="A211" s="4">
        <v>1461</v>
      </c>
      <c r="B211" t="s">
        <v>217</v>
      </c>
    </row>
    <row r="212" spans="1:2" x14ac:dyDescent="0.2">
      <c r="A212" s="4">
        <v>1462</v>
      </c>
      <c r="B212" t="s">
        <v>218</v>
      </c>
    </row>
    <row r="213" spans="1:2" x14ac:dyDescent="0.2">
      <c r="A213" s="4">
        <v>1463</v>
      </c>
      <c r="B213" t="s">
        <v>219</v>
      </c>
    </row>
    <row r="214" spans="1:2" x14ac:dyDescent="0.2">
      <c r="A214" s="4">
        <v>1464</v>
      </c>
      <c r="B214" t="s">
        <v>220</v>
      </c>
    </row>
    <row r="215" spans="1:2" x14ac:dyDescent="0.2">
      <c r="A215" s="4">
        <v>1465</v>
      </c>
      <c r="B215" t="s">
        <v>221</v>
      </c>
    </row>
    <row r="216" spans="1:2" x14ac:dyDescent="0.2">
      <c r="A216" s="4">
        <v>1466</v>
      </c>
      <c r="B216" t="s">
        <v>222</v>
      </c>
    </row>
    <row r="217" spans="1:2" x14ac:dyDescent="0.2">
      <c r="A217" s="4">
        <v>1467</v>
      </c>
      <c r="B217" t="s">
        <v>223</v>
      </c>
    </row>
    <row r="218" spans="1:2" x14ac:dyDescent="0.2">
      <c r="A218" s="4">
        <v>1468</v>
      </c>
      <c r="B218" t="s">
        <v>224</v>
      </c>
    </row>
    <row r="219" spans="1:2" x14ac:dyDescent="0.2">
      <c r="A219" s="4">
        <v>1469</v>
      </c>
      <c r="B219" t="s">
        <v>225</v>
      </c>
    </row>
    <row r="220" spans="1:2" x14ac:dyDescent="0.2">
      <c r="A220" s="4">
        <v>1470</v>
      </c>
      <c r="B220" t="s">
        <v>226</v>
      </c>
    </row>
    <row r="221" spans="1:2" x14ac:dyDescent="0.2">
      <c r="A221" s="4">
        <v>1471</v>
      </c>
      <c r="B221" t="s">
        <v>227</v>
      </c>
    </row>
    <row r="222" spans="1:2" x14ac:dyDescent="0.2">
      <c r="A222" s="4">
        <v>1472</v>
      </c>
      <c r="B222" t="s">
        <v>228</v>
      </c>
    </row>
    <row r="223" spans="1:2" x14ac:dyDescent="0.2">
      <c r="A223" s="4">
        <v>1473</v>
      </c>
      <c r="B223" t="s">
        <v>24</v>
      </c>
    </row>
    <row r="224" spans="1:2" x14ac:dyDescent="0.2">
      <c r="A224" s="4">
        <v>1476</v>
      </c>
      <c r="B224" t="s">
        <v>229</v>
      </c>
    </row>
    <row r="225" spans="1:2" x14ac:dyDescent="0.2">
      <c r="A225" s="4">
        <v>1477</v>
      </c>
      <c r="B225" t="s">
        <v>230</v>
      </c>
    </row>
    <row r="226" spans="1:2" x14ac:dyDescent="0.2">
      <c r="A226" s="4">
        <v>1478</v>
      </c>
      <c r="B226" t="s">
        <v>231</v>
      </c>
    </row>
    <row r="227" spans="1:2" x14ac:dyDescent="0.2">
      <c r="A227" s="4">
        <v>1479</v>
      </c>
      <c r="B227" t="s">
        <v>232</v>
      </c>
    </row>
    <row r="228" spans="1:2" x14ac:dyDescent="0.2">
      <c r="A228" s="4">
        <v>1480</v>
      </c>
      <c r="B228" t="s">
        <v>233</v>
      </c>
    </row>
    <row r="229" spans="1:2" x14ac:dyDescent="0.2">
      <c r="A229" s="4">
        <v>1481</v>
      </c>
      <c r="B229" t="s">
        <v>234</v>
      </c>
    </row>
    <row r="230" spans="1:2" x14ac:dyDescent="0.2">
      <c r="A230" s="4">
        <v>1482</v>
      </c>
      <c r="B230" t="s">
        <v>235</v>
      </c>
    </row>
    <row r="231" spans="1:2" x14ac:dyDescent="0.2">
      <c r="A231" s="4">
        <v>1483</v>
      </c>
      <c r="B231" t="s">
        <v>236</v>
      </c>
    </row>
    <row r="232" spans="1:2" x14ac:dyDescent="0.2">
      <c r="A232" s="4">
        <v>1484</v>
      </c>
      <c r="B232" t="s">
        <v>237</v>
      </c>
    </row>
    <row r="233" spans="1:2" x14ac:dyDescent="0.2">
      <c r="A233" s="4">
        <v>1485</v>
      </c>
      <c r="B233" t="s">
        <v>238</v>
      </c>
    </row>
    <row r="234" spans="1:2" x14ac:dyDescent="0.2">
      <c r="A234" s="4">
        <v>1486</v>
      </c>
      <c r="B234" t="s">
        <v>239</v>
      </c>
    </row>
    <row r="235" spans="1:2" x14ac:dyDescent="0.2">
      <c r="A235" s="4">
        <v>1487</v>
      </c>
      <c r="B235" t="s">
        <v>240</v>
      </c>
    </row>
    <row r="236" spans="1:2" x14ac:dyDescent="0.2">
      <c r="A236" s="4">
        <v>1488</v>
      </c>
      <c r="B236" t="s">
        <v>241</v>
      </c>
    </row>
    <row r="237" spans="1:2" x14ac:dyDescent="0.2">
      <c r="A237" s="4">
        <v>1489</v>
      </c>
      <c r="B237" t="s">
        <v>242</v>
      </c>
    </row>
    <row r="238" spans="1:2" x14ac:dyDescent="0.2">
      <c r="A238" s="4">
        <v>1490</v>
      </c>
      <c r="B238" t="s">
        <v>243</v>
      </c>
    </row>
    <row r="239" spans="1:2" x14ac:dyDescent="0.2">
      <c r="A239" s="4">
        <v>1491</v>
      </c>
      <c r="B239" t="s">
        <v>244</v>
      </c>
    </row>
    <row r="240" spans="1:2" x14ac:dyDescent="0.2">
      <c r="A240" s="4">
        <v>1492</v>
      </c>
      <c r="B240" t="s">
        <v>245</v>
      </c>
    </row>
    <row r="241" spans="1:2" x14ac:dyDescent="0.2">
      <c r="A241" s="4">
        <v>1493</v>
      </c>
      <c r="B241" t="s">
        <v>246</v>
      </c>
    </row>
    <row r="242" spans="1:2" x14ac:dyDescent="0.2">
      <c r="A242" s="4">
        <v>1494</v>
      </c>
      <c r="B242" t="s">
        <v>247</v>
      </c>
    </row>
    <row r="243" spans="1:2" x14ac:dyDescent="0.2">
      <c r="A243" s="4">
        <v>1495</v>
      </c>
      <c r="B243" t="s">
        <v>248</v>
      </c>
    </row>
    <row r="244" spans="1:2" x14ac:dyDescent="0.2">
      <c r="A244" s="4">
        <v>1496</v>
      </c>
      <c r="B244" t="s">
        <v>249</v>
      </c>
    </row>
    <row r="245" spans="1:2" x14ac:dyDescent="0.2">
      <c r="A245" s="4">
        <v>1497</v>
      </c>
      <c r="B245" t="s">
        <v>250</v>
      </c>
    </row>
    <row r="246" spans="1:2" x14ac:dyDescent="0.2">
      <c r="A246" s="4">
        <v>1498</v>
      </c>
      <c r="B246" t="s">
        <v>251</v>
      </c>
    </row>
    <row r="247" spans="1:2" x14ac:dyDescent="0.2">
      <c r="A247" s="4">
        <v>1499</v>
      </c>
      <c r="B247" t="s">
        <v>252</v>
      </c>
    </row>
    <row r="248" spans="1:2" x14ac:dyDescent="0.2">
      <c r="A248" s="4">
        <v>1500</v>
      </c>
      <c r="B248" t="s">
        <v>253</v>
      </c>
    </row>
    <row r="249" spans="1:2" x14ac:dyDescent="0.2">
      <c r="A249" s="4">
        <v>1502</v>
      </c>
      <c r="B249" t="s">
        <v>254</v>
      </c>
    </row>
    <row r="250" spans="1:2" x14ac:dyDescent="0.2">
      <c r="A250" s="4">
        <v>1503</v>
      </c>
      <c r="B250" t="s">
        <v>255</v>
      </c>
    </row>
    <row r="251" spans="1:2" x14ac:dyDescent="0.2">
      <c r="A251" s="4">
        <v>1504</v>
      </c>
      <c r="B251" t="s">
        <v>256</v>
      </c>
    </row>
    <row r="252" spans="1:2" x14ac:dyDescent="0.2">
      <c r="A252" s="4">
        <v>1505</v>
      </c>
      <c r="B252" t="s">
        <v>257</v>
      </c>
    </row>
    <row r="253" spans="1:2" x14ac:dyDescent="0.2">
      <c r="A253" s="4">
        <v>1506</v>
      </c>
      <c r="B253" t="s">
        <v>258</v>
      </c>
    </row>
    <row r="254" spans="1:2" x14ac:dyDescent="0.2">
      <c r="A254" s="4">
        <v>1507</v>
      </c>
      <c r="B254" t="s">
        <v>259</v>
      </c>
    </row>
    <row r="255" spans="1:2" x14ac:dyDescent="0.2">
      <c r="A255" s="4">
        <v>1508</v>
      </c>
      <c r="B255" t="s">
        <v>260</v>
      </c>
    </row>
    <row r="256" spans="1:2" x14ac:dyDescent="0.2">
      <c r="A256" s="4">
        <v>1509</v>
      </c>
      <c r="B256" t="s">
        <v>261</v>
      </c>
    </row>
    <row r="257" spans="1:2" x14ac:dyDescent="0.2">
      <c r="A257" s="4">
        <v>1510</v>
      </c>
      <c r="B257" t="s">
        <v>262</v>
      </c>
    </row>
    <row r="258" spans="1:2" x14ac:dyDescent="0.2">
      <c r="A258" s="4">
        <v>1511</v>
      </c>
      <c r="B258" t="s">
        <v>263</v>
      </c>
    </row>
    <row r="259" spans="1:2" x14ac:dyDescent="0.2">
      <c r="A259" s="4">
        <v>1512</v>
      </c>
      <c r="B259" t="s">
        <v>264</v>
      </c>
    </row>
    <row r="260" spans="1:2" x14ac:dyDescent="0.2">
      <c r="A260" s="4">
        <v>1513</v>
      </c>
      <c r="B260" t="s">
        <v>265</v>
      </c>
    </row>
    <row r="261" spans="1:2" x14ac:dyDescent="0.2">
      <c r="A261" s="4">
        <v>1514</v>
      </c>
      <c r="B261" t="s">
        <v>266</v>
      </c>
    </row>
    <row r="262" spans="1:2" x14ac:dyDescent="0.2">
      <c r="A262" s="4">
        <v>1515</v>
      </c>
      <c r="B262" t="s">
        <v>267</v>
      </c>
    </row>
    <row r="263" spans="1:2" x14ac:dyDescent="0.2">
      <c r="A263" s="4">
        <v>1516</v>
      </c>
      <c r="B263" t="s">
        <v>268</v>
      </c>
    </row>
    <row r="264" spans="1:2" x14ac:dyDescent="0.2">
      <c r="A264" s="4">
        <v>1517</v>
      </c>
      <c r="B264" t="s">
        <v>269</v>
      </c>
    </row>
    <row r="265" spans="1:2" x14ac:dyDescent="0.2">
      <c r="A265" s="4">
        <v>1518</v>
      </c>
      <c r="B265" t="s">
        <v>270</v>
      </c>
    </row>
    <row r="266" spans="1:2" x14ac:dyDescent="0.2">
      <c r="A266" s="4">
        <v>1519</v>
      </c>
      <c r="B266" t="s">
        <v>271</v>
      </c>
    </row>
    <row r="267" spans="1:2" x14ac:dyDescent="0.2">
      <c r="A267" s="4">
        <v>1521</v>
      </c>
      <c r="B267" t="s">
        <v>272</v>
      </c>
    </row>
    <row r="268" spans="1:2" x14ac:dyDescent="0.2">
      <c r="A268" s="4">
        <v>1522</v>
      </c>
      <c r="B268" t="s">
        <v>273</v>
      </c>
    </row>
    <row r="269" spans="1:2" x14ac:dyDescent="0.2">
      <c r="A269" s="4">
        <v>1523</v>
      </c>
      <c r="B269" t="s">
        <v>274</v>
      </c>
    </row>
    <row r="270" spans="1:2" x14ac:dyDescent="0.2">
      <c r="A270" s="4">
        <v>1524</v>
      </c>
      <c r="B270" t="s">
        <v>275</v>
      </c>
    </row>
    <row r="271" spans="1:2" x14ac:dyDescent="0.2">
      <c r="A271" s="4">
        <v>1525</v>
      </c>
      <c r="B271" t="s">
        <v>276</v>
      </c>
    </row>
    <row r="272" spans="1:2" x14ac:dyDescent="0.2">
      <c r="A272" s="4">
        <v>1526</v>
      </c>
      <c r="B272" t="s">
        <v>277</v>
      </c>
    </row>
    <row r="273" spans="1:2" x14ac:dyDescent="0.2">
      <c r="A273" s="4">
        <v>1527</v>
      </c>
      <c r="B273" t="s">
        <v>278</v>
      </c>
    </row>
    <row r="274" spans="1:2" x14ac:dyDescent="0.2">
      <c r="A274" s="4">
        <v>1528</v>
      </c>
      <c r="B274" t="s">
        <v>279</v>
      </c>
    </row>
    <row r="275" spans="1:2" x14ac:dyDescent="0.2">
      <c r="A275" s="4">
        <v>1529</v>
      </c>
      <c r="B275" t="s">
        <v>280</v>
      </c>
    </row>
    <row r="276" spans="1:2" x14ac:dyDescent="0.2">
      <c r="A276" s="4">
        <v>1530</v>
      </c>
      <c r="B276" t="s">
        <v>281</v>
      </c>
    </row>
    <row r="277" spans="1:2" x14ac:dyDescent="0.2">
      <c r="A277" s="4">
        <v>1531</v>
      </c>
      <c r="B277" t="s">
        <v>282</v>
      </c>
    </row>
    <row r="278" spans="1:2" x14ac:dyDescent="0.2">
      <c r="A278" s="4">
        <v>1532</v>
      </c>
      <c r="B278" t="s">
        <v>283</v>
      </c>
    </row>
    <row r="279" spans="1:2" x14ac:dyDescent="0.2">
      <c r="A279" s="4">
        <v>1533</v>
      </c>
      <c r="B279" t="s">
        <v>284</v>
      </c>
    </row>
    <row r="280" spans="1:2" x14ac:dyDescent="0.2">
      <c r="A280" s="4">
        <v>1534</v>
      </c>
      <c r="B280" t="s">
        <v>285</v>
      </c>
    </row>
    <row r="281" spans="1:2" x14ac:dyDescent="0.2">
      <c r="A281" s="4">
        <v>1535</v>
      </c>
      <c r="B281" t="s">
        <v>286</v>
      </c>
    </row>
    <row r="282" spans="1:2" x14ac:dyDescent="0.2">
      <c r="A282" s="4">
        <v>1536</v>
      </c>
      <c r="B282" t="s">
        <v>287</v>
      </c>
    </row>
    <row r="283" spans="1:2" x14ac:dyDescent="0.2">
      <c r="A283" s="4">
        <v>1539</v>
      </c>
      <c r="B283" t="s">
        <v>288</v>
      </c>
    </row>
    <row r="284" spans="1:2" x14ac:dyDescent="0.2">
      <c r="A284" s="4">
        <v>1540</v>
      </c>
      <c r="B284" t="s">
        <v>289</v>
      </c>
    </row>
    <row r="285" spans="1:2" x14ac:dyDescent="0.2">
      <c r="A285" s="4">
        <v>1541</v>
      </c>
      <c r="B285" t="s">
        <v>290</v>
      </c>
    </row>
    <row r="286" spans="1:2" x14ac:dyDescent="0.2">
      <c r="A286" s="4">
        <v>1542</v>
      </c>
      <c r="B286" t="s">
        <v>291</v>
      </c>
    </row>
    <row r="287" spans="1:2" x14ac:dyDescent="0.2">
      <c r="A287" s="4">
        <v>1543</v>
      </c>
      <c r="B287" t="s">
        <v>292</v>
      </c>
    </row>
    <row r="288" spans="1:2" x14ac:dyDescent="0.2">
      <c r="A288" s="4">
        <v>1544</v>
      </c>
      <c r="B288" t="s">
        <v>293</v>
      </c>
    </row>
    <row r="289" spans="1:2" x14ac:dyDescent="0.2">
      <c r="A289" s="4">
        <v>1545</v>
      </c>
      <c r="B289" t="s">
        <v>294</v>
      </c>
    </row>
    <row r="290" spans="1:2" x14ac:dyDescent="0.2">
      <c r="A290" s="4">
        <v>1546</v>
      </c>
      <c r="B290" t="s">
        <v>295</v>
      </c>
    </row>
    <row r="291" spans="1:2" x14ac:dyDescent="0.2">
      <c r="A291" s="4">
        <v>1547</v>
      </c>
      <c r="B291" t="s">
        <v>296</v>
      </c>
    </row>
    <row r="292" spans="1:2" x14ac:dyDescent="0.2">
      <c r="A292" s="4">
        <v>1548</v>
      </c>
      <c r="B292" t="s">
        <v>297</v>
      </c>
    </row>
    <row r="293" spans="1:2" x14ac:dyDescent="0.2">
      <c r="A293" s="4">
        <v>1549</v>
      </c>
      <c r="B293" t="s">
        <v>298</v>
      </c>
    </row>
    <row r="294" spans="1:2" x14ac:dyDescent="0.2">
      <c r="A294" s="4">
        <v>1550</v>
      </c>
      <c r="B294" t="s">
        <v>299</v>
      </c>
    </row>
    <row r="295" spans="1:2" x14ac:dyDescent="0.2">
      <c r="A295" s="4">
        <v>1551</v>
      </c>
      <c r="B295" t="s">
        <v>300</v>
      </c>
    </row>
    <row r="296" spans="1:2" x14ac:dyDescent="0.2">
      <c r="A296" s="4">
        <v>1552</v>
      </c>
      <c r="B296" t="s">
        <v>301</v>
      </c>
    </row>
    <row r="297" spans="1:2" x14ac:dyDescent="0.2">
      <c r="A297" s="4">
        <v>1553</v>
      </c>
      <c r="B297" t="s">
        <v>302</v>
      </c>
    </row>
    <row r="298" spans="1:2" x14ac:dyDescent="0.2">
      <c r="A298" s="4">
        <v>1554</v>
      </c>
      <c r="B298" t="s">
        <v>303</v>
      </c>
    </row>
    <row r="299" spans="1:2" x14ac:dyDescent="0.2">
      <c r="A299" s="4">
        <v>1555</v>
      </c>
      <c r="B299" t="s">
        <v>304</v>
      </c>
    </row>
    <row r="300" spans="1:2" x14ac:dyDescent="0.2">
      <c r="A300" s="4">
        <v>1556</v>
      </c>
      <c r="B300" t="s">
        <v>305</v>
      </c>
    </row>
    <row r="301" spans="1:2" x14ac:dyDescent="0.2">
      <c r="A301" s="4">
        <v>1557</v>
      </c>
      <c r="B301" t="s">
        <v>306</v>
      </c>
    </row>
    <row r="302" spans="1:2" x14ac:dyDescent="0.2">
      <c r="A302" s="4">
        <v>1558</v>
      </c>
      <c r="B302" t="s">
        <v>307</v>
      </c>
    </row>
    <row r="303" spans="1:2" x14ac:dyDescent="0.2">
      <c r="A303" s="4">
        <v>1559</v>
      </c>
      <c r="B303" t="s">
        <v>308</v>
      </c>
    </row>
    <row r="304" spans="1:2" x14ac:dyDescent="0.2">
      <c r="A304" s="4">
        <v>1560</v>
      </c>
      <c r="B304" t="s">
        <v>309</v>
      </c>
    </row>
    <row r="305" spans="1:2" x14ac:dyDescent="0.2">
      <c r="A305" s="4">
        <v>1561</v>
      </c>
      <c r="B305" t="s">
        <v>310</v>
      </c>
    </row>
    <row r="306" spans="1:2" x14ac:dyDescent="0.2">
      <c r="A306" s="4">
        <v>1562</v>
      </c>
      <c r="B306" t="s">
        <v>311</v>
      </c>
    </row>
    <row r="307" spans="1:2" x14ac:dyDescent="0.2">
      <c r="A307" s="4">
        <v>1563</v>
      </c>
      <c r="B307" t="s">
        <v>312</v>
      </c>
    </row>
    <row r="308" spans="1:2" x14ac:dyDescent="0.2">
      <c r="A308" s="4">
        <v>1564</v>
      </c>
      <c r="B308" t="s">
        <v>313</v>
      </c>
    </row>
    <row r="309" spans="1:2" x14ac:dyDescent="0.2">
      <c r="A309" s="4">
        <v>1565</v>
      </c>
      <c r="B309" t="s">
        <v>314</v>
      </c>
    </row>
    <row r="310" spans="1:2" x14ac:dyDescent="0.2">
      <c r="A310" s="4">
        <v>1567</v>
      </c>
      <c r="B310" t="s">
        <v>315</v>
      </c>
    </row>
    <row r="311" spans="1:2" x14ac:dyDescent="0.2">
      <c r="A311" s="4">
        <v>1568</v>
      </c>
      <c r="B311" t="s">
        <v>316</v>
      </c>
    </row>
    <row r="312" spans="1:2" x14ac:dyDescent="0.2">
      <c r="A312" s="4">
        <v>1569</v>
      </c>
      <c r="B312" t="s">
        <v>317</v>
      </c>
    </row>
    <row r="313" spans="1:2" x14ac:dyDescent="0.2">
      <c r="A313" s="4">
        <v>1570</v>
      </c>
      <c r="B313" t="s">
        <v>318</v>
      </c>
    </row>
    <row r="314" spans="1:2" x14ac:dyDescent="0.2">
      <c r="A314" s="4">
        <v>1571</v>
      </c>
      <c r="B314" t="s">
        <v>319</v>
      </c>
    </row>
    <row r="315" spans="1:2" x14ac:dyDescent="0.2">
      <c r="A315" s="4">
        <v>1572</v>
      </c>
      <c r="B315" t="s">
        <v>320</v>
      </c>
    </row>
    <row r="316" spans="1:2" x14ac:dyDescent="0.2">
      <c r="A316" s="4">
        <v>1573</v>
      </c>
      <c r="B316" t="s">
        <v>18</v>
      </c>
    </row>
    <row r="317" spans="1:2" x14ac:dyDescent="0.2">
      <c r="A317" s="4">
        <v>1574</v>
      </c>
      <c r="B317" t="s">
        <v>321</v>
      </c>
    </row>
    <row r="318" spans="1:2" x14ac:dyDescent="0.2">
      <c r="A318" s="4">
        <v>1575</v>
      </c>
      <c r="B318" t="s">
        <v>322</v>
      </c>
    </row>
    <row r="319" spans="1:2" x14ac:dyDescent="0.2">
      <c r="A319" s="4">
        <v>1576</v>
      </c>
      <c r="B319" t="s">
        <v>323</v>
      </c>
    </row>
    <row r="320" spans="1:2" x14ac:dyDescent="0.2">
      <c r="A320" s="4">
        <v>1577</v>
      </c>
      <c r="B320" t="s">
        <v>324</v>
      </c>
    </row>
    <row r="321" spans="1:2" x14ac:dyDescent="0.2">
      <c r="A321" s="4">
        <v>1579</v>
      </c>
      <c r="B321" t="s">
        <v>325</v>
      </c>
    </row>
    <row r="322" spans="1:2" x14ac:dyDescent="0.2">
      <c r="A322" s="4">
        <v>1580</v>
      </c>
      <c r="B322" t="s">
        <v>326</v>
      </c>
    </row>
    <row r="323" spans="1:2" x14ac:dyDescent="0.2">
      <c r="A323" s="4">
        <v>1581</v>
      </c>
      <c r="B323" t="s">
        <v>327</v>
      </c>
    </row>
    <row r="324" spans="1:2" x14ac:dyDescent="0.2">
      <c r="A324" s="4">
        <v>1582</v>
      </c>
      <c r="B324" t="s">
        <v>328</v>
      </c>
    </row>
    <row r="325" spans="1:2" x14ac:dyDescent="0.2">
      <c r="A325" s="4">
        <v>1583</v>
      </c>
      <c r="B325" t="s">
        <v>329</v>
      </c>
    </row>
    <row r="326" spans="1:2" x14ac:dyDescent="0.2">
      <c r="A326" s="4">
        <v>1584</v>
      </c>
      <c r="B326" t="s">
        <v>330</v>
      </c>
    </row>
    <row r="327" spans="1:2" x14ac:dyDescent="0.2">
      <c r="A327" s="4">
        <v>1585</v>
      </c>
      <c r="B327" t="s">
        <v>331</v>
      </c>
    </row>
    <row r="328" spans="1:2" x14ac:dyDescent="0.2">
      <c r="A328" s="4">
        <v>1589</v>
      </c>
      <c r="B328" t="s">
        <v>332</v>
      </c>
    </row>
    <row r="329" spans="1:2" x14ac:dyDescent="0.2">
      <c r="A329" s="4">
        <v>1590</v>
      </c>
      <c r="B329" t="s">
        <v>333</v>
      </c>
    </row>
    <row r="330" spans="1:2" x14ac:dyDescent="0.2">
      <c r="A330" s="4">
        <v>1591</v>
      </c>
      <c r="B330" t="s">
        <v>334</v>
      </c>
    </row>
    <row r="331" spans="1:2" x14ac:dyDescent="0.2">
      <c r="A331" s="4">
        <v>1592</v>
      </c>
      <c r="B331" t="s">
        <v>335</v>
      </c>
    </row>
    <row r="332" spans="1:2" x14ac:dyDescent="0.2">
      <c r="A332" s="4">
        <v>1593</v>
      </c>
      <c r="B332" t="s">
        <v>336</v>
      </c>
    </row>
    <row r="333" spans="1:2" x14ac:dyDescent="0.2">
      <c r="A333" s="4">
        <v>1594</v>
      </c>
      <c r="B333" t="s">
        <v>337</v>
      </c>
    </row>
    <row r="334" spans="1:2" x14ac:dyDescent="0.2">
      <c r="A334" s="4">
        <v>1595</v>
      </c>
      <c r="B334" t="s">
        <v>338</v>
      </c>
    </row>
    <row r="335" spans="1:2" x14ac:dyDescent="0.2">
      <c r="A335" s="4">
        <v>1596</v>
      </c>
      <c r="B335" t="s">
        <v>339</v>
      </c>
    </row>
    <row r="336" spans="1:2" x14ac:dyDescent="0.2">
      <c r="A336" s="4">
        <v>1597</v>
      </c>
      <c r="B336" t="s">
        <v>340</v>
      </c>
    </row>
    <row r="337" spans="1:2" x14ac:dyDescent="0.2">
      <c r="A337" s="4">
        <v>1598</v>
      </c>
      <c r="B337" t="s">
        <v>341</v>
      </c>
    </row>
    <row r="338" spans="1:2" x14ac:dyDescent="0.2">
      <c r="A338" s="4">
        <v>1599</v>
      </c>
      <c r="B338" t="s">
        <v>342</v>
      </c>
    </row>
    <row r="339" spans="1:2" x14ac:dyDescent="0.2">
      <c r="A339" s="4">
        <v>1600</v>
      </c>
      <c r="B339" t="s">
        <v>343</v>
      </c>
    </row>
    <row r="340" spans="1:2" x14ac:dyDescent="0.2">
      <c r="A340" s="4">
        <v>1601</v>
      </c>
      <c r="B340" t="s">
        <v>344</v>
      </c>
    </row>
    <row r="341" spans="1:2" x14ac:dyDescent="0.2">
      <c r="A341" s="4">
        <v>1602</v>
      </c>
      <c r="B341" t="s">
        <v>345</v>
      </c>
    </row>
    <row r="342" spans="1:2" x14ac:dyDescent="0.2">
      <c r="A342" s="4">
        <v>1603</v>
      </c>
      <c r="B342" t="s">
        <v>346</v>
      </c>
    </row>
    <row r="343" spans="1:2" x14ac:dyDescent="0.2">
      <c r="A343" s="4">
        <v>1604</v>
      </c>
      <c r="B343" t="s">
        <v>347</v>
      </c>
    </row>
    <row r="344" spans="1:2" x14ac:dyDescent="0.2">
      <c r="A344" s="4">
        <v>1605</v>
      </c>
      <c r="B344" t="s">
        <v>348</v>
      </c>
    </row>
    <row r="345" spans="1:2" x14ac:dyDescent="0.2">
      <c r="A345" s="4">
        <v>1606</v>
      </c>
      <c r="B345" t="s">
        <v>349</v>
      </c>
    </row>
    <row r="346" spans="1:2" x14ac:dyDescent="0.2">
      <c r="A346" s="4">
        <v>1607</v>
      </c>
      <c r="B346" t="s">
        <v>350</v>
      </c>
    </row>
    <row r="347" spans="1:2" x14ac:dyDescent="0.2">
      <c r="A347" s="4">
        <v>1608</v>
      </c>
      <c r="B347" t="s">
        <v>351</v>
      </c>
    </row>
    <row r="348" spans="1:2" x14ac:dyDescent="0.2">
      <c r="A348" s="4">
        <v>1609</v>
      </c>
      <c r="B348" t="s">
        <v>352</v>
      </c>
    </row>
    <row r="349" spans="1:2" x14ac:dyDescent="0.2">
      <c r="A349" s="4">
        <v>1610</v>
      </c>
      <c r="B349" t="s">
        <v>353</v>
      </c>
    </row>
    <row r="350" spans="1:2" x14ac:dyDescent="0.2">
      <c r="A350" s="4">
        <v>1611</v>
      </c>
      <c r="B350" t="s">
        <v>354</v>
      </c>
    </row>
    <row r="351" spans="1:2" x14ac:dyDescent="0.2">
      <c r="A351" s="4">
        <v>1612</v>
      </c>
      <c r="B351" t="s">
        <v>355</v>
      </c>
    </row>
    <row r="352" spans="1:2" x14ac:dyDescent="0.2">
      <c r="A352" s="4">
        <v>1613</v>
      </c>
      <c r="B352" t="s">
        <v>356</v>
      </c>
    </row>
    <row r="353" spans="1:2" x14ac:dyDescent="0.2">
      <c r="A353" s="4">
        <v>1614</v>
      </c>
      <c r="B353" t="s">
        <v>357</v>
      </c>
    </row>
    <row r="354" spans="1:2" x14ac:dyDescent="0.2">
      <c r="A354" s="4">
        <v>1615</v>
      </c>
      <c r="B354" t="s">
        <v>358</v>
      </c>
    </row>
    <row r="355" spans="1:2" x14ac:dyDescent="0.2">
      <c r="A355" s="4">
        <v>1616</v>
      </c>
      <c r="B355" t="s">
        <v>359</v>
      </c>
    </row>
    <row r="356" spans="1:2" x14ac:dyDescent="0.2">
      <c r="A356" s="4">
        <v>1617</v>
      </c>
      <c r="B356" t="s">
        <v>360</v>
      </c>
    </row>
    <row r="357" spans="1:2" x14ac:dyDescent="0.2">
      <c r="A357" s="4">
        <v>1618</v>
      </c>
      <c r="B357" t="s">
        <v>361</v>
      </c>
    </row>
    <row r="358" spans="1:2" x14ac:dyDescent="0.2">
      <c r="A358" s="4">
        <v>1619</v>
      </c>
      <c r="B358" t="s">
        <v>362</v>
      </c>
    </row>
    <row r="359" spans="1:2" x14ac:dyDescent="0.2">
      <c r="A359" s="4">
        <v>1620</v>
      </c>
      <c r="B359" t="s">
        <v>363</v>
      </c>
    </row>
    <row r="360" spans="1:2" x14ac:dyDescent="0.2">
      <c r="A360" s="4">
        <v>1621</v>
      </c>
      <c r="B360" t="s">
        <v>364</v>
      </c>
    </row>
    <row r="361" spans="1:2" x14ac:dyDescent="0.2">
      <c r="A361" s="4">
        <v>1622</v>
      </c>
      <c r="B361" t="s">
        <v>365</v>
      </c>
    </row>
    <row r="362" spans="1:2" x14ac:dyDescent="0.2">
      <c r="A362" s="4">
        <v>1623</v>
      </c>
      <c r="B362" t="s">
        <v>366</v>
      </c>
    </row>
    <row r="363" spans="1:2" x14ac:dyDescent="0.2">
      <c r="A363" s="4">
        <v>1624</v>
      </c>
      <c r="B363" t="s">
        <v>367</v>
      </c>
    </row>
    <row r="364" spans="1:2" x14ac:dyDescent="0.2">
      <c r="A364" s="4">
        <v>1625</v>
      </c>
      <c r="B364" t="s">
        <v>368</v>
      </c>
    </row>
    <row r="365" spans="1:2" x14ac:dyDescent="0.2">
      <c r="A365" s="4">
        <v>1626</v>
      </c>
      <c r="B365" t="s">
        <v>369</v>
      </c>
    </row>
    <row r="366" spans="1:2" x14ac:dyDescent="0.2">
      <c r="A366" s="4">
        <v>1627</v>
      </c>
      <c r="B366" t="s">
        <v>370</v>
      </c>
    </row>
    <row r="367" spans="1:2" x14ac:dyDescent="0.2">
      <c r="A367" s="4">
        <v>1628</v>
      </c>
      <c r="B367" t="s">
        <v>371</v>
      </c>
    </row>
    <row r="368" spans="1:2" x14ac:dyDescent="0.2">
      <c r="A368" s="4">
        <v>1629</v>
      </c>
      <c r="B368" t="s">
        <v>372</v>
      </c>
    </row>
    <row r="369" spans="1:2" x14ac:dyDescent="0.2">
      <c r="A369" s="4">
        <v>1630</v>
      </c>
      <c r="B369" t="s">
        <v>373</v>
      </c>
    </row>
    <row r="370" spans="1:2" x14ac:dyDescent="0.2">
      <c r="A370" s="4">
        <v>1631</v>
      </c>
      <c r="B370" t="s">
        <v>374</v>
      </c>
    </row>
    <row r="371" spans="1:2" x14ac:dyDescent="0.2">
      <c r="A371" s="4">
        <v>1632</v>
      </c>
      <c r="B371" t="s">
        <v>375</v>
      </c>
    </row>
    <row r="372" spans="1:2" x14ac:dyDescent="0.2">
      <c r="A372" s="4">
        <v>1633</v>
      </c>
      <c r="B372" t="s">
        <v>376</v>
      </c>
    </row>
    <row r="373" spans="1:2" x14ac:dyDescent="0.2">
      <c r="A373" s="4">
        <v>1634</v>
      </c>
      <c r="B373" t="s">
        <v>377</v>
      </c>
    </row>
    <row r="374" spans="1:2" x14ac:dyDescent="0.2">
      <c r="A374" s="4">
        <v>1635</v>
      </c>
      <c r="B374" t="s">
        <v>378</v>
      </c>
    </row>
    <row r="375" spans="1:2" x14ac:dyDescent="0.2">
      <c r="A375" s="4">
        <v>1650</v>
      </c>
      <c r="B375" t="s">
        <v>379</v>
      </c>
    </row>
    <row r="376" spans="1:2" x14ac:dyDescent="0.2">
      <c r="A376" s="4">
        <v>1651</v>
      </c>
      <c r="B376" t="s">
        <v>380</v>
      </c>
    </row>
    <row r="377" spans="1:2" x14ac:dyDescent="0.2">
      <c r="A377" s="4">
        <v>1652</v>
      </c>
      <c r="B377" t="s">
        <v>381</v>
      </c>
    </row>
    <row r="378" spans="1:2" x14ac:dyDescent="0.2">
      <c r="A378" s="4">
        <v>1653</v>
      </c>
      <c r="B378" t="s">
        <v>382</v>
      </c>
    </row>
    <row r="379" spans="1:2" x14ac:dyDescent="0.2">
      <c r="A379" s="4">
        <v>1656</v>
      </c>
      <c r="B379" t="s">
        <v>383</v>
      </c>
    </row>
    <row r="380" spans="1:2" x14ac:dyDescent="0.2">
      <c r="A380" s="4">
        <v>1657</v>
      </c>
      <c r="B380" t="s">
        <v>384</v>
      </c>
    </row>
    <row r="381" spans="1:2" x14ac:dyDescent="0.2">
      <c r="A381" s="4">
        <v>1658</v>
      </c>
      <c r="B381" t="s">
        <v>385</v>
      </c>
    </row>
    <row r="382" spans="1:2" x14ac:dyDescent="0.2">
      <c r="A382" s="4">
        <v>1659</v>
      </c>
      <c r="B382" t="s">
        <v>386</v>
      </c>
    </row>
    <row r="383" spans="1:2" x14ac:dyDescent="0.2">
      <c r="A383" s="4">
        <v>1660</v>
      </c>
      <c r="B383" t="s">
        <v>387</v>
      </c>
    </row>
    <row r="384" spans="1:2" x14ac:dyDescent="0.2">
      <c r="A384" s="4">
        <v>1661</v>
      </c>
      <c r="B384" t="s">
        <v>388</v>
      </c>
    </row>
    <row r="385" spans="1:2" x14ac:dyDescent="0.2">
      <c r="A385" s="4">
        <v>1662</v>
      </c>
      <c r="B385" t="s">
        <v>389</v>
      </c>
    </row>
    <row r="386" spans="1:2" x14ac:dyDescent="0.2">
      <c r="A386" s="4">
        <v>1666</v>
      </c>
      <c r="B386" t="s">
        <v>390</v>
      </c>
    </row>
    <row r="387" spans="1:2" x14ac:dyDescent="0.2">
      <c r="A387" s="4">
        <v>1667</v>
      </c>
      <c r="B387" t="s">
        <v>391</v>
      </c>
    </row>
    <row r="388" spans="1:2" x14ac:dyDescent="0.2">
      <c r="A388" s="4">
        <v>1668</v>
      </c>
      <c r="B388" t="s">
        <v>392</v>
      </c>
    </row>
    <row r="389" spans="1:2" x14ac:dyDescent="0.2">
      <c r="A389" s="4">
        <v>1671</v>
      </c>
      <c r="B389" t="s">
        <v>393</v>
      </c>
    </row>
    <row r="390" spans="1:2" x14ac:dyDescent="0.2">
      <c r="A390" s="4">
        <v>1672</v>
      </c>
      <c r="B390" t="s">
        <v>394</v>
      </c>
    </row>
    <row r="391" spans="1:2" x14ac:dyDescent="0.2">
      <c r="A391" s="4">
        <v>1673</v>
      </c>
      <c r="B391" t="s">
        <v>395</v>
      </c>
    </row>
    <row r="392" spans="1:2" x14ac:dyDescent="0.2">
      <c r="A392" s="4">
        <v>1681</v>
      </c>
      <c r="B392" t="s">
        <v>396</v>
      </c>
    </row>
    <row r="393" spans="1:2" x14ac:dyDescent="0.2">
      <c r="A393" s="4">
        <v>1682</v>
      </c>
      <c r="B393" t="s">
        <v>397</v>
      </c>
    </row>
    <row r="394" spans="1:2" x14ac:dyDescent="0.2">
      <c r="A394" s="4">
        <v>1683</v>
      </c>
      <c r="B394" t="s">
        <v>398</v>
      </c>
    </row>
    <row r="395" spans="1:2" x14ac:dyDescent="0.2">
      <c r="A395" s="4">
        <v>1685</v>
      </c>
      <c r="B395" t="s">
        <v>399</v>
      </c>
    </row>
    <row r="396" spans="1:2" x14ac:dyDescent="0.2">
      <c r="A396" s="4">
        <v>1686</v>
      </c>
      <c r="B396" t="s">
        <v>400</v>
      </c>
    </row>
    <row r="397" spans="1:2" x14ac:dyDescent="0.2">
      <c r="A397" s="4">
        <v>1687</v>
      </c>
      <c r="B397" t="s">
        <v>401</v>
      </c>
    </row>
    <row r="398" spans="1:2" x14ac:dyDescent="0.2">
      <c r="A398" s="4">
        <v>1689</v>
      </c>
      <c r="B398" t="s">
        <v>402</v>
      </c>
    </row>
    <row r="399" spans="1:2" x14ac:dyDescent="0.2">
      <c r="A399" s="4">
        <v>1690</v>
      </c>
      <c r="B399" t="s">
        <v>403</v>
      </c>
    </row>
    <row r="400" spans="1:2" x14ac:dyDescent="0.2">
      <c r="A400" s="4">
        <v>1691</v>
      </c>
      <c r="B400" t="s">
        <v>404</v>
      </c>
    </row>
    <row r="401" spans="1:2" x14ac:dyDescent="0.2">
      <c r="A401" s="4">
        <v>1692</v>
      </c>
      <c r="B401" t="s">
        <v>405</v>
      </c>
    </row>
    <row r="402" spans="1:2" x14ac:dyDescent="0.2">
      <c r="A402" s="4">
        <v>1693</v>
      </c>
      <c r="B402" t="s">
        <v>406</v>
      </c>
    </row>
    <row r="403" spans="1:2" x14ac:dyDescent="0.2">
      <c r="A403" s="4">
        <v>1694</v>
      </c>
      <c r="B403" t="s">
        <v>407</v>
      </c>
    </row>
    <row r="404" spans="1:2" x14ac:dyDescent="0.2">
      <c r="A404" s="4">
        <v>1695</v>
      </c>
      <c r="B404" t="s">
        <v>408</v>
      </c>
    </row>
    <row r="405" spans="1:2" x14ac:dyDescent="0.2">
      <c r="A405" s="4">
        <v>1696</v>
      </c>
      <c r="B405" t="s">
        <v>409</v>
      </c>
    </row>
    <row r="406" spans="1:2" x14ac:dyDescent="0.2">
      <c r="A406" s="4">
        <v>1697</v>
      </c>
      <c r="B406" t="s">
        <v>410</v>
      </c>
    </row>
    <row r="407" spans="1:2" x14ac:dyDescent="0.2">
      <c r="A407" s="4">
        <v>1698</v>
      </c>
      <c r="B407" t="s">
        <v>411</v>
      </c>
    </row>
    <row r="408" spans="1:2" x14ac:dyDescent="0.2">
      <c r="A408" s="4">
        <v>1699</v>
      </c>
      <c r="B408" t="s">
        <v>412</v>
      </c>
    </row>
    <row r="409" spans="1:2" x14ac:dyDescent="0.2">
      <c r="A409" s="4">
        <v>1700</v>
      </c>
      <c r="B409" t="s">
        <v>413</v>
      </c>
    </row>
    <row r="410" spans="1:2" x14ac:dyDescent="0.2">
      <c r="A410" s="4">
        <v>1701</v>
      </c>
      <c r="B410" t="s">
        <v>414</v>
      </c>
    </row>
    <row r="411" spans="1:2" x14ac:dyDescent="0.2">
      <c r="A411" s="4">
        <v>1702</v>
      </c>
      <c r="B411" t="s">
        <v>415</v>
      </c>
    </row>
    <row r="412" spans="1:2" x14ac:dyDescent="0.2">
      <c r="A412" s="4">
        <v>1703</v>
      </c>
      <c r="B412" t="s">
        <v>416</v>
      </c>
    </row>
    <row r="413" spans="1:2" x14ac:dyDescent="0.2">
      <c r="A413" s="4">
        <v>1704</v>
      </c>
      <c r="B413" t="s">
        <v>417</v>
      </c>
    </row>
    <row r="414" spans="1:2" x14ac:dyDescent="0.2">
      <c r="A414" s="4">
        <v>1705</v>
      </c>
      <c r="B414" t="s">
        <v>418</v>
      </c>
    </row>
    <row r="415" spans="1:2" x14ac:dyDescent="0.2">
      <c r="A415" s="4">
        <v>1706</v>
      </c>
      <c r="B415" t="s">
        <v>419</v>
      </c>
    </row>
    <row r="416" spans="1:2" x14ac:dyDescent="0.2">
      <c r="A416" s="4">
        <v>1707</v>
      </c>
      <c r="B416" t="s">
        <v>420</v>
      </c>
    </row>
    <row r="417" spans="1:2" x14ac:dyDescent="0.2">
      <c r="A417" s="4">
        <v>1708</v>
      </c>
      <c r="B417" t="s">
        <v>421</v>
      </c>
    </row>
    <row r="418" spans="1:2" x14ac:dyDescent="0.2">
      <c r="A418" s="4">
        <v>1709</v>
      </c>
      <c r="B418" t="s">
        <v>422</v>
      </c>
    </row>
    <row r="419" spans="1:2" x14ac:dyDescent="0.2">
      <c r="A419" s="4">
        <v>1710</v>
      </c>
      <c r="B419" t="s">
        <v>423</v>
      </c>
    </row>
    <row r="420" spans="1:2" x14ac:dyDescent="0.2">
      <c r="A420" s="4">
        <v>1711</v>
      </c>
      <c r="B420" t="s">
        <v>424</v>
      </c>
    </row>
    <row r="421" spans="1:2" x14ac:dyDescent="0.2">
      <c r="A421" s="4">
        <v>1712</v>
      </c>
      <c r="B421" t="s">
        <v>425</v>
      </c>
    </row>
    <row r="422" spans="1:2" x14ac:dyDescent="0.2">
      <c r="A422" s="4">
        <v>1713</v>
      </c>
      <c r="B422" t="s">
        <v>426</v>
      </c>
    </row>
    <row r="423" spans="1:2" x14ac:dyDescent="0.2">
      <c r="A423" s="4">
        <v>1714</v>
      </c>
      <c r="B423" t="s">
        <v>427</v>
      </c>
    </row>
    <row r="424" spans="1:2" x14ac:dyDescent="0.2">
      <c r="A424" s="4">
        <v>1715</v>
      </c>
      <c r="B424" t="s">
        <v>428</v>
      </c>
    </row>
    <row r="425" spans="1:2" x14ac:dyDescent="0.2">
      <c r="A425" s="4">
        <v>1716</v>
      </c>
      <c r="B425" t="s">
        <v>429</v>
      </c>
    </row>
    <row r="426" spans="1:2" x14ac:dyDescent="0.2">
      <c r="A426" s="4">
        <v>1717</v>
      </c>
      <c r="B426" t="s">
        <v>430</v>
      </c>
    </row>
    <row r="427" spans="1:2" x14ac:dyDescent="0.2">
      <c r="A427" s="4">
        <v>1718</v>
      </c>
      <c r="B427" t="s">
        <v>431</v>
      </c>
    </row>
    <row r="428" spans="1:2" x14ac:dyDescent="0.2">
      <c r="A428" s="4">
        <v>1719</v>
      </c>
      <c r="B428" t="s">
        <v>432</v>
      </c>
    </row>
    <row r="429" spans="1:2" x14ac:dyDescent="0.2">
      <c r="A429" s="4">
        <v>1720</v>
      </c>
      <c r="B429" t="s">
        <v>433</v>
      </c>
    </row>
    <row r="430" spans="1:2" x14ac:dyDescent="0.2">
      <c r="A430" s="4">
        <v>1722</v>
      </c>
      <c r="B430" t="s">
        <v>434</v>
      </c>
    </row>
    <row r="431" spans="1:2" x14ac:dyDescent="0.2">
      <c r="A431" s="4">
        <v>1723</v>
      </c>
      <c r="B431" t="s">
        <v>435</v>
      </c>
    </row>
    <row r="432" spans="1:2" x14ac:dyDescent="0.2">
      <c r="A432" s="4">
        <v>1727</v>
      </c>
      <c r="B432" t="s">
        <v>436</v>
      </c>
    </row>
    <row r="433" spans="1:2" x14ac:dyDescent="0.2">
      <c r="A433" s="4">
        <v>1728</v>
      </c>
      <c r="B433" t="s">
        <v>437</v>
      </c>
    </row>
    <row r="434" spans="1:2" x14ac:dyDescent="0.2">
      <c r="A434" s="4">
        <v>1729</v>
      </c>
      <c r="B434" t="s">
        <v>438</v>
      </c>
    </row>
    <row r="435" spans="1:2" x14ac:dyDescent="0.2">
      <c r="A435" s="4">
        <v>1730</v>
      </c>
      <c r="B435" t="s">
        <v>439</v>
      </c>
    </row>
    <row r="436" spans="1:2" x14ac:dyDescent="0.2">
      <c r="A436" s="4">
        <v>1731</v>
      </c>
      <c r="B436" t="s">
        <v>440</v>
      </c>
    </row>
    <row r="437" spans="1:2" x14ac:dyDescent="0.2">
      <c r="A437" s="4">
        <v>1732</v>
      </c>
      <c r="B437" t="s">
        <v>441</v>
      </c>
    </row>
    <row r="438" spans="1:2" x14ac:dyDescent="0.2">
      <c r="A438" s="4">
        <v>1733</v>
      </c>
      <c r="B438" t="s">
        <v>442</v>
      </c>
    </row>
    <row r="439" spans="1:2" x14ac:dyDescent="0.2">
      <c r="A439" s="4">
        <v>1734</v>
      </c>
      <c r="B439" t="s">
        <v>443</v>
      </c>
    </row>
    <row r="440" spans="1:2" x14ac:dyDescent="0.2">
      <c r="A440" s="4">
        <v>1735</v>
      </c>
      <c r="B440" t="s">
        <v>444</v>
      </c>
    </row>
    <row r="441" spans="1:2" x14ac:dyDescent="0.2">
      <c r="A441" s="4">
        <v>1736</v>
      </c>
      <c r="B441" t="s">
        <v>445</v>
      </c>
    </row>
    <row r="442" spans="1:2" x14ac:dyDescent="0.2">
      <c r="A442" s="4">
        <v>1737</v>
      </c>
      <c r="B442" t="s">
        <v>446</v>
      </c>
    </row>
    <row r="443" spans="1:2" x14ac:dyDescent="0.2">
      <c r="A443" s="4">
        <v>1738</v>
      </c>
      <c r="B443" t="s">
        <v>447</v>
      </c>
    </row>
    <row r="444" spans="1:2" x14ac:dyDescent="0.2">
      <c r="A444" s="4">
        <v>1739</v>
      </c>
      <c r="B444" t="s">
        <v>448</v>
      </c>
    </row>
    <row r="445" spans="1:2" x14ac:dyDescent="0.2">
      <c r="A445" s="4">
        <v>1740</v>
      </c>
      <c r="B445" t="s">
        <v>449</v>
      </c>
    </row>
    <row r="446" spans="1:2" x14ac:dyDescent="0.2">
      <c r="A446" s="4">
        <v>1741</v>
      </c>
      <c r="B446" t="s">
        <v>450</v>
      </c>
    </row>
    <row r="447" spans="1:2" x14ac:dyDescent="0.2">
      <c r="A447" s="4">
        <v>1742</v>
      </c>
      <c r="B447" t="s">
        <v>451</v>
      </c>
    </row>
    <row r="448" spans="1:2" x14ac:dyDescent="0.2">
      <c r="A448" s="4">
        <v>1743</v>
      </c>
      <c r="B448" t="s">
        <v>452</v>
      </c>
    </row>
    <row r="449" spans="1:2" x14ac:dyDescent="0.2">
      <c r="A449" s="4">
        <v>1744</v>
      </c>
      <c r="B449" t="s">
        <v>453</v>
      </c>
    </row>
    <row r="450" spans="1:2" x14ac:dyDescent="0.2">
      <c r="A450" s="4">
        <v>1745</v>
      </c>
      <c r="B450" t="s">
        <v>454</v>
      </c>
    </row>
    <row r="451" spans="1:2" x14ac:dyDescent="0.2">
      <c r="A451" s="4">
        <v>1746</v>
      </c>
      <c r="B451" t="s">
        <v>455</v>
      </c>
    </row>
    <row r="452" spans="1:2" x14ac:dyDescent="0.2">
      <c r="A452" s="4">
        <v>1747</v>
      </c>
      <c r="B452" t="s">
        <v>456</v>
      </c>
    </row>
    <row r="453" spans="1:2" x14ac:dyDescent="0.2">
      <c r="A453" s="4">
        <v>1748</v>
      </c>
      <c r="B453" t="s">
        <v>457</v>
      </c>
    </row>
    <row r="454" spans="1:2" x14ac:dyDescent="0.2">
      <c r="A454" s="4">
        <v>1749</v>
      </c>
      <c r="B454" t="s">
        <v>458</v>
      </c>
    </row>
    <row r="455" spans="1:2" x14ac:dyDescent="0.2">
      <c r="A455" s="4">
        <v>1750</v>
      </c>
      <c r="B455" t="s">
        <v>459</v>
      </c>
    </row>
    <row r="456" spans="1:2" x14ac:dyDescent="0.2">
      <c r="A456" s="4">
        <v>1751</v>
      </c>
      <c r="B456" t="s">
        <v>460</v>
      </c>
    </row>
    <row r="457" spans="1:2" x14ac:dyDescent="0.2">
      <c r="A457" s="4">
        <v>1752</v>
      </c>
      <c r="B457" t="s">
        <v>461</v>
      </c>
    </row>
    <row r="458" spans="1:2" x14ac:dyDescent="0.2">
      <c r="A458" s="4">
        <v>1768</v>
      </c>
      <c r="B458" t="s">
        <v>462</v>
      </c>
    </row>
    <row r="459" spans="1:2" x14ac:dyDescent="0.2">
      <c r="A459" s="4">
        <v>1769</v>
      </c>
      <c r="B459" t="s">
        <v>463</v>
      </c>
    </row>
    <row r="460" spans="1:2" x14ac:dyDescent="0.2">
      <c r="A460" s="4">
        <v>1770</v>
      </c>
      <c r="B460" t="s">
        <v>464</v>
      </c>
    </row>
    <row r="461" spans="1:2" x14ac:dyDescent="0.2">
      <c r="A461" s="4">
        <v>1771</v>
      </c>
      <c r="B461" t="s">
        <v>465</v>
      </c>
    </row>
    <row r="462" spans="1:2" x14ac:dyDescent="0.2">
      <c r="A462" s="4">
        <v>1772</v>
      </c>
      <c r="B462" t="s">
        <v>466</v>
      </c>
    </row>
    <row r="463" spans="1:2" x14ac:dyDescent="0.2">
      <c r="A463" s="4">
        <v>1773</v>
      </c>
      <c r="B463" t="s">
        <v>467</v>
      </c>
    </row>
    <row r="464" spans="1:2" x14ac:dyDescent="0.2">
      <c r="A464" s="4">
        <v>1774</v>
      </c>
      <c r="B464" t="s">
        <v>468</v>
      </c>
    </row>
    <row r="465" spans="1:2" x14ac:dyDescent="0.2">
      <c r="A465" s="4">
        <v>1775</v>
      </c>
      <c r="B465" t="s">
        <v>469</v>
      </c>
    </row>
    <row r="466" spans="1:2" x14ac:dyDescent="0.2">
      <c r="A466" s="4">
        <v>1776</v>
      </c>
      <c r="B466" t="s">
        <v>410</v>
      </c>
    </row>
    <row r="467" spans="1:2" x14ac:dyDescent="0.2">
      <c r="A467" s="4">
        <v>1777</v>
      </c>
      <c r="B467" t="s">
        <v>470</v>
      </c>
    </row>
    <row r="468" spans="1:2" x14ac:dyDescent="0.2">
      <c r="A468" s="4">
        <v>1778</v>
      </c>
      <c r="B468" t="s">
        <v>471</v>
      </c>
    </row>
    <row r="469" spans="1:2" x14ac:dyDescent="0.2">
      <c r="A469" s="4">
        <v>1779</v>
      </c>
      <c r="B469" t="s">
        <v>472</v>
      </c>
    </row>
    <row r="470" spans="1:2" x14ac:dyDescent="0.2">
      <c r="A470" s="4">
        <v>1780</v>
      </c>
      <c r="B470" t="s">
        <v>473</v>
      </c>
    </row>
    <row r="471" spans="1:2" x14ac:dyDescent="0.2">
      <c r="A471" s="4">
        <v>1781</v>
      </c>
      <c r="B471" t="s">
        <v>474</v>
      </c>
    </row>
    <row r="472" spans="1:2" x14ac:dyDescent="0.2">
      <c r="A472" s="4">
        <v>1782</v>
      </c>
      <c r="B472" t="s">
        <v>475</v>
      </c>
    </row>
    <row r="473" spans="1:2" x14ac:dyDescent="0.2">
      <c r="A473" s="4">
        <v>1783</v>
      </c>
      <c r="B473" t="s">
        <v>476</v>
      </c>
    </row>
    <row r="474" spans="1:2" x14ac:dyDescent="0.2">
      <c r="A474" s="4">
        <v>1784</v>
      </c>
      <c r="B474" t="s">
        <v>477</v>
      </c>
    </row>
    <row r="475" spans="1:2" x14ac:dyDescent="0.2">
      <c r="A475" s="4">
        <v>1785</v>
      </c>
      <c r="B475" t="s">
        <v>478</v>
      </c>
    </row>
    <row r="476" spans="1:2" x14ac:dyDescent="0.2">
      <c r="A476" s="4">
        <v>1786</v>
      </c>
      <c r="B476" t="s">
        <v>479</v>
      </c>
    </row>
    <row r="477" spans="1:2" x14ac:dyDescent="0.2">
      <c r="A477" s="4">
        <v>1787</v>
      </c>
      <c r="B477" t="s">
        <v>480</v>
      </c>
    </row>
    <row r="478" spans="1:2" x14ac:dyDescent="0.2">
      <c r="A478" s="4">
        <v>1788</v>
      </c>
      <c r="B478" t="s">
        <v>481</v>
      </c>
    </row>
    <row r="479" spans="1:2" x14ac:dyDescent="0.2">
      <c r="A479" s="4">
        <v>1789</v>
      </c>
      <c r="B479" t="s">
        <v>482</v>
      </c>
    </row>
    <row r="480" spans="1:2" x14ac:dyDescent="0.2">
      <c r="A480" s="4">
        <v>1790</v>
      </c>
      <c r="B480" t="s">
        <v>398</v>
      </c>
    </row>
    <row r="481" spans="1:2" x14ac:dyDescent="0.2">
      <c r="A481" s="4">
        <v>1791</v>
      </c>
      <c r="B481" t="s">
        <v>483</v>
      </c>
    </row>
    <row r="482" spans="1:2" x14ac:dyDescent="0.2">
      <c r="A482" s="4">
        <v>1792</v>
      </c>
      <c r="B482" t="s">
        <v>484</v>
      </c>
    </row>
    <row r="483" spans="1:2" x14ac:dyDescent="0.2">
      <c r="A483" s="4">
        <v>1793</v>
      </c>
      <c r="B483" t="s">
        <v>485</v>
      </c>
    </row>
    <row r="484" spans="1:2" x14ac:dyDescent="0.2">
      <c r="A484" s="4">
        <v>1794</v>
      </c>
      <c r="B484" t="s">
        <v>486</v>
      </c>
    </row>
    <row r="485" spans="1:2" x14ac:dyDescent="0.2">
      <c r="A485" s="4">
        <v>1795</v>
      </c>
      <c r="B485" t="s">
        <v>487</v>
      </c>
    </row>
    <row r="486" spans="1:2" x14ac:dyDescent="0.2">
      <c r="A486" s="4">
        <v>1796</v>
      </c>
      <c r="B486" t="s">
        <v>488</v>
      </c>
    </row>
    <row r="487" spans="1:2" x14ac:dyDescent="0.2">
      <c r="A487" s="4">
        <v>1797</v>
      </c>
      <c r="B487" t="s">
        <v>489</v>
      </c>
    </row>
    <row r="488" spans="1:2" x14ac:dyDescent="0.2">
      <c r="A488" s="4">
        <v>1798</v>
      </c>
      <c r="B488" t="s">
        <v>490</v>
      </c>
    </row>
    <row r="489" spans="1:2" x14ac:dyDescent="0.2">
      <c r="A489" s="4">
        <v>1799</v>
      </c>
      <c r="B489" t="s">
        <v>491</v>
      </c>
    </row>
    <row r="490" spans="1:2" x14ac:dyDescent="0.2">
      <c r="A490" s="4">
        <v>1800</v>
      </c>
      <c r="B490" t="s">
        <v>492</v>
      </c>
    </row>
    <row r="491" spans="1:2" x14ac:dyDescent="0.2">
      <c r="A491" s="4">
        <v>1801</v>
      </c>
      <c r="B491" t="s">
        <v>493</v>
      </c>
    </row>
    <row r="492" spans="1:2" x14ac:dyDescent="0.2">
      <c r="A492" s="4">
        <v>1802</v>
      </c>
      <c r="B492" t="s">
        <v>494</v>
      </c>
    </row>
    <row r="493" spans="1:2" x14ac:dyDescent="0.2">
      <c r="A493" s="4">
        <v>1803</v>
      </c>
      <c r="B493" t="s">
        <v>495</v>
      </c>
    </row>
    <row r="494" spans="1:2" x14ac:dyDescent="0.2">
      <c r="A494" s="4">
        <v>1804</v>
      </c>
      <c r="B494" t="s">
        <v>496</v>
      </c>
    </row>
    <row r="495" spans="1:2" x14ac:dyDescent="0.2">
      <c r="A495" s="4">
        <v>1805</v>
      </c>
      <c r="B495" t="s">
        <v>497</v>
      </c>
    </row>
    <row r="496" spans="1:2" x14ac:dyDescent="0.2">
      <c r="A496" s="4">
        <v>1806</v>
      </c>
      <c r="B496" t="s">
        <v>498</v>
      </c>
    </row>
    <row r="497" spans="1:2" x14ac:dyDescent="0.2">
      <c r="A497" s="4">
        <v>1807</v>
      </c>
      <c r="B497" t="s">
        <v>499</v>
      </c>
    </row>
    <row r="498" spans="1:2" x14ac:dyDescent="0.2">
      <c r="A498" s="4">
        <v>1808</v>
      </c>
      <c r="B498" t="s">
        <v>500</v>
      </c>
    </row>
    <row r="499" spans="1:2" x14ac:dyDescent="0.2">
      <c r="A499" s="4">
        <v>1809</v>
      </c>
      <c r="B499" t="s">
        <v>501</v>
      </c>
    </row>
    <row r="500" spans="1:2" x14ac:dyDescent="0.2">
      <c r="A500" s="4">
        <v>1810</v>
      </c>
      <c r="B500" t="s">
        <v>502</v>
      </c>
    </row>
    <row r="501" spans="1:2" x14ac:dyDescent="0.2">
      <c r="A501" s="4">
        <v>1811</v>
      </c>
      <c r="B501" t="s">
        <v>503</v>
      </c>
    </row>
    <row r="502" spans="1:2" x14ac:dyDescent="0.2">
      <c r="A502" s="4">
        <v>1812</v>
      </c>
      <c r="B502" t="s">
        <v>504</v>
      </c>
    </row>
    <row r="503" spans="1:2" x14ac:dyDescent="0.2">
      <c r="A503" s="4">
        <v>1813</v>
      </c>
      <c r="B503" t="s">
        <v>505</v>
      </c>
    </row>
    <row r="504" spans="1:2" x14ac:dyDescent="0.2">
      <c r="A504" s="4">
        <v>1814</v>
      </c>
      <c r="B504" t="s">
        <v>506</v>
      </c>
    </row>
    <row r="505" spans="1:2" x14ac:dyDescent="0.2">
      <c r="A505" s="4">
        <v>1815</v>
      </c>
      <c r="B505" t="s">
        <v>507</v>
      </c>
    </row>
    <row r="506" spans="1:2" x14ac:dyDescent="0.2">
      <c r="A506" s="4">
        <v>1816</v>
      </c>
      <c r="B506" t="s">
        <v>508</v>
      </c>
    </row>
    <row r="507" spans="1:2" x14ac:dyDescent="0.2">
      <c r="A507" s="4">
        <v>1817</v>
      </c>
      <c r="B507" t="s">
        <v>509</v>
      </c>
    </row>
    <row r="508" spans="1:2" x14ac:dyDescent="0.2">
      <c r="A508" s="4">
        <v>1818</v>
      </c>
      <c r="B508" t="s">
        <v>510</v>
      </c>
    </row>
    <row r="509" spans="1:2" x14ac:dyDescent="0.2">
      <c r="A509" s="4">
        <v>1819</v>
      </c>
      <c r="B509" t="s">
        <v>511</v>
      </c>
    </row>
    <row r="510" spans="1:2" x14ac:dyDescent="0.2">
      <c r="A510" s="4">
        <v>1820</v>
      </c>
      <c r="B510" t="s">
        <v>512</v>
      </c>
    </row>
    <row r="511" spans="1:2" x14ac:dyDescent="0.2">
      <c r="A511" s="4">
        <v>1821</v>
      </c>
      <c r="B511" t="s">
        <v>513</v>
      </c>
    </row>
    <row r="512" spans="1:2" x14ac:dyDescent="0.2">
      <c r="A512" s="4">
        <v>1822</v>
      </c>
      <c r="B512" t="s">
        <v>514</v>
      </c>
    </row>
    <row r="513" spans="1:2" x14ac:dyDescent="0.2">
      <c r="A513" s="4">
        <v>1823</v>
      </c>
      <c r="B513" t="s">
        <v>515</v>
      </c>
    </row>
    <row r="514" spans="1:2" x14ac:dyDescent="0.2">
      <c r="A514" s="4">
        <v>1824</v>
      </c>
      <c r="B514" t="s">
        <v>516</v>
      </c>
    </row>
    <row r="515" spans="1:2" x14ac:dyDescent="0.2">
      <c r="A515" s="4">
        <v>1825</v>
      </c>
      <c r="B515" t="s">
        <v>517</v>
      </c>
    </row>
    <row r="516" spans="1:2" x14ac:dyDescent="0.2">
      <c r="A516" s="4">
        <v>1826</v>
      </c>
      <c r="B516" t="s">
        <v>518</v>
      </c>
    </row>
    <row r="517" spans="1:2" x14ac:dyDescent="0.2">
      <c r="A517" s="4">
        <v>1827</v>
      </c>
      <c r="B517" t="s">
        <v>519</v>
      </c>
    </row>
    <row r="518" spans="1:2" x14ac:dyDescent="0.2">
      <c r="A518" s="4">
        <v>1828</v>
      </c>
      <c r="B518" t="s">
        <v>520</v>
      </c>
    </row>
    <row r="519" spans="1:2" x14ac:dyDescent="0.2">
      <c r="A519" s="4">
        <v>1829</v>
      </c>
      <c r="B519" t="s">
        <v>521</v>
      </c>
    </row>
    <row r="520" spans="1:2" x14ac:dyDescent="0.2">
      <c r="A520" s="4">
        <v>1830</v>
      </c>
      <c r="B520" t="s">
        <v>522</v>
      </c>
    </row>
    <row r="521" spans="1:2" x14ac:dyDescent="0.2">
      <c r="A521" s="4">
        <v>1831</v>
      </c>
      <c r="B521" t="s">
        <v>523</v>
      </c>
    </row>
    <row r="522" spans="1:2" x14ac:dyDescent="0.2">
      <c r="A522" s="4">
        <v>1832</v>
      </c>
      <c r="B522" t="s">
        <v>524</v>
      </c>
    </row>
    <row r="523" spans="1:2" x14ac:dyDescent="0.2">
      <c r="A523" s="4">
        <v>1833</v>
      </c>
      <c r="B523" t="s">
        <v>525</v>
      </c>
    </row>
    <row r="524" spans="1:2" x14ac:dyDescent="0.2">
      <c r="A524" s="4">
        <v>1834</v>
      </c>
      <c r="B524" t="s">
        <v>526</v>
      </c>
    </row>
    <row r="525" spans="1:2" x14ac:dyDescent="0.2">
      <c r="A525" s="4">
        <v>1835</v>
      </c>
      <c r="B525" t="s">
        <v>527</v>
      </c>
    </row>
    <row r="526" spans="1:2" x14ac:dyDescent="0.2">
      <c r="A526" s="4">
        <v>1836</v>
      </c>
      <c r="B526" t="s">
        <v>528</v>
      </c>
    </row>
    <row r="527" spans="1:2" x14ac:dyDescent="0.2">
      <c r="A527" s="4">
        <v>1837</v>
      </c>
      <c r="B527" t="s">
        <v>529</v>
      </c>
    </row>
    <row r="528" spans="1:2" x14ac:dyDescent="0.2">
      <c r="A528" s="4">
        <v>1838</v>
      </c>
      <c r="B528" t="s">
        <v>530</v>
      </c>
    </row>
    <row r="529" spans="1:2" x14ac:dyDescent="0.2">
      <c r="A529" s="4">
        <v>1839</v>
      </c>
      <c r="B529" t="s">
        <v>531</v>
      </c>
    </row>
    <row r="530" spans="1:2" x14ac:dyDescent="0.2">
      <c r="A530" s="4">
        <v>1840</v>
      </c>
      <c r="B530" t="s">
        <v>532</v>
      </c>
    </row>
    <row r="531" spans="1:2" x14ac:dyDescent="0.2">
      <c r="A531" s="4">
        <v>1841</v>
      </c>
      <c r="B531" t="s">
        <v>533</v>
      </c>
    </row>
    <row r="532" spans="1:2" x14ac:dyDescent="0.2">
      <c r="A532" s="4">
        <v>1842</v>
      </c>
      <c r="B532" t="s">
        <v>534</v>
      </c>
    </row>
    <row r="533" spans="1:2" x14ac:dyDescent="0.2">
      <c r="A533" s="4">
        <v>1843</v>
      </c>
      <c r="B533" t="s">
        <v>535</v>
      </c>
    </row>
    <row r="534" spans="1:2" x14ac:dyDescent="0.2">
      <c r="A534" s="4">
        <v>1844</v>
      </c>
      <c r="B534" t="s">
        <v>536</v>
      </c>
    </row>
    <row r="535" spans="1:2" x14ac:dyDescent="0.2">
      <c r="A535" s="4">
        <v>1845</v>
      </c>
      <c r="B535" t="s">
        <v>537</v>
      </c>
    </row>
    <row r="536" spans="1:2" x14ac:dyDescent="0.2">
      <c r="A536" s="4">
        <v>1846</v>
      </c>
      <c r="B536" t="s">
        <v>512</v>
      </c>
    </row>
    <row r="537" spans="1:2" x14ac:dyDescent="0.2">
      <c r="A537" s="4">
        <v>1847</v>
      </c>
      <c r="B537" t="s">
        <v>538</v>
      </c>
    </row>
    <row r="538" spans="1:2" x14ac:dyDescent="0.2">
      <c r="A538" s="4">
        <v>1848</v>
      </c>
      <c r="B538" t="s">
        <v>539</v>
      </c>
    </row>
    <row r="539" spans="1:2" x14ac:dyDescent="0.2">
      <c r="A539" s="4">
        <v>1849</v>
      </c>
      <c r="B539" t="s">
        <v>540</v>
      </c>
    </row>
    <row r="540" spans="1:2" x14ac:dyDescent="0.2">
      <c r="A540" s="4">
        <v>1850</v>
      </c>
      <c r="B540" t="s">
        <v>541</v>
      </c>
    </row>
    <row r="541" spans="1:2" x14ac:dyDescent="0.2">
      <c r="A541" s="4">
        <v>1851</v>
      </c>
      <c r="B541" t="s">
        <v>542</v>
      </c>
    </row>
    <row r="542" spans="1:2" x14ac:dyDescent="0.2">
      <c r="A542" s="4">
        <v>1852</v>
      </c>
      <c r="B542" t="s">
        <v>543</v>
      </c>
    </row>
    <row r="543" spans="1:2" x14ac:dyDescent="0.2">
      <c r="A543" s="4">
        <v>1853</v>
      </c>
      <c r="B543" t="s">
        <v>544</v>
      </c>
    </row>
    <row r="544" spans="1:2" x14ac:dyDescent="0.2">
      <c r="A544" s="4">
        <v>1859</v>
      </c>
      <c r="B544" t="s">
        <v>545</v>
      </c>
    </row>
    <row r="545" spans="1:2" x14ac:dyDescent="0.2">
      <c r="A545" s="4">
        <v>1860</v>
      </c>
      <c r="B545" t="s">
        <v>546</v>
      </c>
    </row>
    <row r="546" spans="1:2" x14ac:dyDescent="0.2">
      <c r="A546" s="4">
        <v>1861</v>
      </c>
      <c r="B546" t="s">
        <v>547</v>
      </c>
    </row>
    <row r="547" spans="1:2" x14ac:dyDescent="0.2">
      <c r="A547" s="4">
        <v>1862</v>
      </c>
      <c r="B547" t="s">
        <v>548</v>
      </c>
    </row>
    <row r="548" spans="1:2" x14ac:dyDescent="0.2">
      <c r="A548" s="4">
        <v>1863</v>
      </c>
      <c r="B548" t="s">
        <v>549</v>
      </c>
    </row>
    <row r="549" spans="1:2" x14ac:dyDescent="0.2">
      <c r="A549" s="4">
        <v>1864</v>
      </c>
      <c r="B549" t="s">
        <v>550</v>
      </c>
    </row>
    <row r="550" spans="1:2" x14ac:dyDescent="0.2">
      <c r="A550" s="4">
        <v>1865</v>
      </c>
      <c r="B550" t="s">
        <v>551</v>
      </c>
    </row>
    <row r="551" spans="1:2" x14ac:dyDescent="0.2">
      <c r="A551" s="4">
        <v>1866</v>
      </c>
      <c r="B551" t="s">
        <v>552</v>
      </c>
    </row>
    <row r="552" spans="1:2" x14ac:dyDescent="0.2">
      <c r="A552" s="4">
        <v>1867</v>
      </c>
      <c r="B552" t="s">
        <v>553</v>
      </c>
    </row>
    <row r="553" spans="1:2" x14ac:dyDescent="0.2">
      <c r="A553" s="4">
        <v>1868</v>
      </c>
      <c r="B553" t="s">
        <v>554</v>
      </c>
    </row>
    <row r="554" spans="1:2" x14ac:dyDescent="0.2">
      <c r="A554" s="4">
        <v>1869</v>
      </c>
      <c r="B554" t="s">
        <v>555</v>
      </c>
    </row>
    <row r="555" spans="1:2" x14ac:dyDescent="0.2">
      <c r="A555" s="4">
        <v>1870</v>
      </c>
      <c r="B555" t="s">
        <v>556</v>
      </c>
    </row>
    <row r="556" spans="1:2" x14ac:dyDescent="0.2">
      <c r="A556" s="4">
        <v>1871</v>
      </c>
      <c r="B556" t="s">
        <v>557</v>
      </c>
    </row>
    <row r="557" spans="1:2" x14ac:dyDescent="0.2">
      <c r="A557" s="4">
        <v>1956</v>
      </c>
      <c r="B557" t="s">
        <v>558</v>
      </c>
    </row>
    <row r="558" spans="1:2" x14ac:dyDescent="0.2">
      <c r="A558" s="4">
        <v>1957</v>
      </c>
      <c r="B558" t="s">
        <v>559</v>
      </c>
    </row>
    <row r="559" spans="1:2" x14ac:dyDescent="0.2">
      <c r="A559" s="4">
        <v>1958</v>
      </c>
      <c r="B559" t="s">
        <v>560</v>
      </c>
    </row>
    <row r="560" spans="1:2" x14ac:dyDescent="0.2">
      <c r="A560" s="4">
        <v>1959</v>
      </c>
      <c r="B560" t="s">
        <v>561</v>
      </c>
    </row>
    <row r="561" spans="1:2" x14ac:dyDescent="0.2">
      <c r="A561" s="4">
        <v>1960</v>
      </c>
      <c r="B561" t="s">
        <v>562</v>
      </c>
    </row>
    <row r="562" spans="1:2" x14ac:dyDescent="0.2">
      <c r="A562" s="4">
        <v>1961</v>
      </c>
      <c r="B562" t="s">
        <v>563</v>
      </c>
    </row>
    <row r="563" spans="1:2" x14ac:dyDescent="0.2">
      <c r="A563" s="4">
        <v>1962</v>
      </c>
      <c r="B563" t="s">
        <v>564</v>
      </c>
    </row>
    <row r="564" spans="1:2" x14ac:dyDescent="0.2">
      <c r="A564" s="4">
        <v>1963</v>
      </c>
      <c r="B564" t="s">
        <v>565</v>
      </c>
    </row>
    <row r="565" spans="1:2" x14ac:dyDescent="0.2">
      <c r="A565" s="4">
        <v>1964</v>
      </c>
      <c r="B565" t="s">
        <v>566</v>
      </c>
    </row>
    <row r="566" spans="1:2" x14ac:dyDescent="0.2">
      <c r="A566" s="4">
        <v>1965</v>
      </c>
      <c r="B566" t="s">
        <v>567</v>
      </c>
    </row>
    <row r="567" spans="1:2" x14ac:dyDescent="0.2">
      <c r="A567" s="4">
        <v>1966</v>
      </c>
      <c r="B567" t="s">
        <v>568</v>
      </c>
    </row>
    <row r="568" spans="1:2" x14ac:dyDescent="0.2">
      <c r="A568" s="4">
        <v>1967</v>
      </c>
      <c r="B568" t="s">
        <v>569</v>
      </c>
    </row>
    <row r="569" spans="1:2" x14ac:dyDescent="0.2">
      <c r="A569" s="4">
        <v>1968</v>
      </c>
      <c r="B569" t="s">
        <v>570</v>
      </c>
    </row>
    <row r="570" spans="1:2" x14ac:dyDescent="0.2">
      <c r="A570" s="4">
        <v>1969</v>
      </c>
      <c r="B570" t="s">
        <v>571</v>
      </c>
    </row>
    <row r="571" spans="1:2" x14ac:dyDescent="0.2">
      <c r="A571" s="4">
        <v>1970</v>
      </c>
      <c r="B571" t="s">
        <v>572</v>
      </c>
    </row>
    <row r="572" spans="1:2" x14ac:dyDescent="0.2">
      <c r="A572" s="4">
        <v>1971</v>
      </c>
      <c r="B572" t="s">
        <v>573</v>
      </c>
    </row>
    <row r="573" spans="1:2" x14ac:dyDescent="0.2">
      <c r="A573" s="4">
        <v>1972</v>
      </c>
      <c r="B573" t="s">
        <v>574</v>
      </c>
    </row>
    <row r="574" spans="1:2" x14ac:dyDescent="0.2">
      <c r="A574" s="4">
        <v>1973</v>
      </c>
      <c r="B574" t="s">
        <v>575</v>
      </c>
    </row>
    <row r="575" spans="1:2" x14ac:dyDescent="0.2">
      <c r="A575" s="4">
        <v>1974</v>
      </c>
      <c r="B575" t="s">
        <v>576</v>
      </c>
    </row>
    <row r="576" spans="1:2" x14ac:dyDescent="0.2">
      <c r="A576" s="4">
        <v>1975</v>
      </c>
      <c r="B576" t="s">
        <v>577</v>
      </c>
    </row>
    <row r="577" spans="1:2" x14ac:dyDescent="0.2">
      <c r="A577" s="4">
        <v>1976</v>
      </c>
      <c r="B577" t="s">
        <v>578</v>
      </c>
    </row>
    <row r="578" spans="1:2" x14ac:dyDescent="0.2">
      <c r="A578" s="4">
        <v>1994</v>
      </c>
      <c r="B578" t="s">
        <v>579</v>
      </c>
    </row>
    <row r="579" spans="1:2" x14ac:dyDescent="0.2">
      <c r="A579" s="4">
        <v>1995</v>
      </c>
      <c r="B579" t="s">
        <v>580</v>
      </c>
    </row>
    <row r="580" spans="1:2" x14ac:dyDescent="0.2">
      <c r="A580" s="4">
        <v>1996</v>
      </c>
      <c r="B580" t="s">
        <v>581</v>
      </c>
    </row>
    <row r="581" spans="1:2" x14ac:dyDescent="0.2">
      <c r="A581" s="4">
        <v>1997</v>
      </c>
      <c r="B581" t="s">
        <v>582</v>
      </c>
    </row>
    <row r="582" spans="1:2" x14ac:dyDescent="0.2">
      <c r="A582" s="4">
        <v>2001</v>
      </c>
      <c r="B582" t="s">
        <v>583</v>
      </c>
    </row>
    <row r="583" spans="1:2" x14ac:dyDescent="0.2">
      <c r="A583" s="4">
        <v>2063</v>
      </c>
      <c r="B583" t="s">
        <v>436</v>
      </c>
    </row>
    <row r="584" spans="1:2" x14ac:dyDescent="0.2">
      <c r="A584" s="4">
        <v>2064</v>
      </c>
      <c r="B584" t="s">
        <v>584</v>
      </c>
    </row>
    <row r="585" spans="1:2" x14ac:dyDescent="0.2">
      <c r="A585" s="4">
        <v>2065</v>
      </c>
      <c r="B585" t="s">
        <v>585</v>
      </c>
    </row>
    <row r="586" spans="1:2" x14ac:dyDescent="0.2">
      <c r="A586" s="4">
        <v>2066</v>
      </c>
      <c r="B586" t="s">
        <v>586</v>
      </c>
    </row>
    <row r="587" spans="1:2" x14ac:dyDescent="0.2">
      <c r="A587" s="4">
        <v>2067</v>
      </c>
      <c r="B587" t="s">
        <v>587</v>
      </c>
    </row>
    <row r="588" spans="1:2" x14ac:dyDescent="0.2">
      <c r="A588" s="4">
        <v>2068</v>
      </c>
      <c r="B588" t="s">
        <v>588</v>
      </c>
    </row>
    <row r="589" spans="1:2" x14ac:dyDescent="0.2">
      <c r="A589" s="4">
        <v>2069</v>
      </c>
      <c r="B589" t="s">
        <v>589</v>
      </c>
    </row>
    <row r="590" spans="1:2" x14ac:dyDescent="0.2">
      <c r="A590" s="4">
        <v>2070</v>
      </c>
      <c r="B590" t="s">
        <v>590</v>
      </c>
    </row>
    <row r="591" spans="1:2" x14ac:dyDescent="0.2">
      <c r="A591" s="4">
        <v>2071</v>
      </c>
      <c r="B591" t="s">
        <v>591</v>
      </c>
    </row>
    <row r="592" spans="1:2" x14ac:dyDescent="0.2">
      <c r="A592" s="4">
        <v>2072</v>
      </c>
      <c r="B592" t="s">
        <v>592</v>
      </c>
    </row>
    <row r="593" spans="1:2" x14ac:dyDescent="0.2">
      <c r="A593" s="4">
        <v>2073</v>
      </c>
      <c r="B593" t="s">
        <v>593</v>
      </c>
    </row>
    <row r="594" spans="1:2" x14ac:dyDescent="0.2">
      <c r="A594" s="4">
        <v>2074</v>
      </c>
      <c r="B594" t="s">
        <v>594</v>
      </c>
    </row>
    <row r="595" spans="1:2" x14ac:dyDescent="0.2">
      <c r="A595" s="4">
        <v>2075</v>
      </c>
      <c r="B595" t="s">
        <v>595</v>
      </c>
    </row>
    <row r="596" spans="1:2" x14ac:dyDescent="0.2">
      <c r="A596" s="4">
        <v>2076</v>
      </c>
      <c r="B596" t="s">
        <v>596</v>
      </c>
    </row>
    <row r="597" spans="1:2" x14ac:dyDescent="0.2">
      <c r="A597" s="4">
        <v>2077</v>
      </c>
      <c r="B597" t="s">
        <v>597</v>
      </c>
    </row>
    <row r="598" spans="1:2" x14ac:dyDescent="0.2">
      <c r="A598" s="4">
        <v>2078</v>
      </c>
      <c r="B598" t="s">
        <v>598</v>
      </c>
    </row>
    <row r="599" spans="1:2" x14ac:dyDescent="0.2">
      <c r="A599" s="4">
        <v>2079</v>
      </c>
      <c r="B599" t="s">
        <v>599</v>
      </c>
    </row>
    <row r="600" spans="1:2" x14ac:dyDescent="0.2">
      <c r="A600" s="4">
        <v>2080</v>
      </c>
      <c r="B600" t="s">
        <v>600</v>
      </c>
    </row>
    <row r="601" spans="1:2" x14ac:dyDescent="0.2">
      <c r="A601" s="4">
        <v>2081</v>
      </c>
      <c r="B601" t="s">
        <v>601</v>
      </c>
    </row>
    <row r="602" spans="1:2" x14ac:dyDescent="0.2">
      <c r="A602" s="4">
        <v>2082</v>
      </c>
      <c r="B602" t="s">
        <v>212</v>
      </c>
    </row>
    <row r="603" spans="1:2" x14ac:dyDescent="0.2">
      <c r="A603" s="4">
        <v>2083</v>
      </c>
      <c r="B603" t="s">
        <v>602</v>
      </c>
    </row>
    <row r="604" spans="1:2" x14ac:dyDescent="0.2">
      <c r="A604" s="4">
        <v>2084</v>
      </c>
      <c r="B604" t="s">
        <v>603</v>
      </c>
    </row>
    <row r="605" spans="1:2" x14ac:dyDescent="0.2">
      <c r="A605" s="4">
        <v>2085</v>
      </c>
      <c r="B605" t="s">
        <v>604</v>
      </c>
    </row>
    <row r="606" spans="1:2" x14ac:dyDescent="0.2">
      <c r="A606" s="4">
        <v>2086</v>
      </c>
      <c r="B606" t="s">
        <v>605</v>
      </c>
    </row>
    <row r="607" spans="1:2" x14ac:dyDescent="0.2">
      <c r="A607" s="4">
        <v>2087</v>
      </c>
      <c r="B607" t="s">
        <v>606</v>
      </c>
    </row>
    <row r="608" spans="1:2" x14ac:dyDescent="0.2">
      <c r="A608" s="4">
        <v>2088</v>
      </c>
      <c r="B608" t="s">
        <v>607</v>
      </c>
    </row>
    <row r="609" spans="1:2" x14ac:dyDescent="0.2">
      <c r="A609" s="4">
        <v>2089</v>
      </c>
      <c r="B609" t="s">
        <v>608</v>
      </c>
    </row>
    <row r="610" spans="1:2" x14ac:dyDescent="0.2">
      <c r="A610" s="4">
        <v>2090</v>
      </c>
      <c r="B610" t="s">
        <v>609</v>
      </c>
    </row>
    <row r="611" spans="1:2" x14ac:dyDescent="0.2">
      <c r="A611" s="4">
        <v>2091</v>
      </c>
      <c r="B611" t="s">
        <v>610</v>
      </c>
    </row>
    <row r="612" spans="1:2" x14ac:dyDescent="0.2">
      <c r="A612" s="4">
        <v>2092</v>
      </c>
      <c r="B612" t="s">
        <v>611</v>
      </c>
    </row>
    <row r="613" spans="1:2" x14ac:dyDescent="0.2">
      <c r="A613" s="4">
        <v>2093</v>
      </c>
      <c r="B613" t="s">
        <v>612</v>
      </c>
    </row>
    <row r="614" spans="1:2" x14ac:dyDescent="0.2">
      <c r="A614" s="4">
        <v>2094</v>
      </c>
      <c r="B614" t="s">
        <v>613</v>
      </c>
    </row>
    <row r="615" spans="1:2" x14ac:dyDescent="0.2">
      <c r="A615" s="4">
        <v>2095</v>
      </c>
      <c r="B615" t="s">
        <v>614</v>
      </c>
    </row>
    <row r="616" spans="1:2" x14ac:dyDescent="0.2">
      <c r="A616" s="4">
        <v>2096</v>
      </c>
      <c r="B616" t="s">
        <v>615</v>
      </c>
    </row>
    <row r="617" spans="1:2" x14ac:dyDescent="0.2">
      <c r="A617" s="4">
        <v>2113</v>
      </c>
      <c r="B617" t="s">
        <v>616</v>
      </c>
    </row>
    <row r="618" spans="1:2" x14ac:dyDescent="0.2">
      <c r="A618" s="4">
        <v>2117</v>
      </c>
      <c r="B618" t="s">
        <v>617</v>
      </c>
    </row>
    <row r="619" spans="1:2" x14ac:dyDescent="0.2">
      <c r="A619" s="4">
        <v>2118</v>
      </c>
      <c r="B619" t="s">
        <v>618</v>
      </c>
    </row>
    <row r="620" spans="1:2" x14ac:dyDescent="0.2">
      <c r="A620" s="4">
        <v>2119</v>
      </c>
      <c r="B620" t="s">
        <v>619</v>
      </c>
    </row>
    <row r="621" spans="1:2" x14ac:dyDescent="0.2">
      <c r="A621" s="4">
        <v>2120</v>
      </c>
      <c r="B621" t="s">
        <v>620</v>
      </c>
    </row>
    <row r="622" spans="1:2" x14ac:dyDescent="0.2">
      <c r="A622" s="4">
        <v>2162</v>
      </c>
      <c r="B622" t="s">
        <v>621</v>
      </c>
    </row>
    <row r="623" spans="1:2" x14ac:dyDescent="0.2">
      <c r="A623" s="4">
        <v>2163</v>
      </c>
      <c r="B623" t="s">
        <v>622</v>
      </c>
    </row>
    <row r="624" spans="1:2" x14ac:dyDescent="0.2">
      <c r="A624" s="4">
        <v>2164</v>
      </c>
      <c r="B624" t="s">
        <v>623</v>
      </c>
    </row>
    <row r="625" spans="1:2" x14ac:dyDescent="0.2">
      <c r="A625" s="4">
        <v>2165</v>
      </c>
      <c r="B625" t="s">
        <v>624</v>
      </c>
    </row>
    <row r="626" spans="1:2" x14ac:dyDescent="0.2">
      <c r="A626" s="4">
        <v>2166</v>
      </c>
      <c r="B626" t="s">
        <v>625</v>
      </c>
    </row>
    <row r="627" spans="1:2" x14ac:dyDescent="0.2">
      <c r="A627" s="4">
        <v>2167</v>
      </c>
      <c r="B627" t="s">
        <v>626</v>
      </c>
    </row>
    <row r="628" spans="1:2" x14ac:dyDescent="0.2">
      <c r="A628" s="4">
        <v>2168</v>
      </c>
      <c r="B628" t="s">
        <v>627</v>
      </c>
    </row>
    <row r="629" spans="1:2" x14ac:dyDescent="0.2">
      <c r="A629" s="4">
        <v>2169</v>
      </c>
      <c r="B629" t="s">
        <v>628</v>
      </c>
    </row>
    <row r="630" spans="1:2" x14ac:dyDescent="0.2">
      <c r="A630" s="4">
        <v>2170</v>
      </c>
      <c r="B630" t="s">
        <v>629</v>
      </c>
    </row>
    <row r="631" spans="1:2" x14ac:dyDescent="0.2">
      <c r="A631" s="4">
        <v>2171</v>
      </c>
      <c r="B631" t="s">
        <v>630</v>
      </c>
    </row>
    <row r="632" spans="1:2" x14ac:dyDescent="0.2">
      <c r="A632" s="4">
        <v>2172</v>
      </c>
      <c r="B632" t="s">
        <v>631</v>
      </c>
    </row>
    <row r="633" spans="1:2" x14ac:dyDescent="0.2">
      <c r="A633" s="4">
        <v>2173</v>
      </c>
      <c r="B633" t="s">
        <v>632</v>
      </c>
    </row>
    <row r="634" spans="1:2" x14ac:dyDescent="0.2">
      <c r="A634" s="4">
        <v>2174</v>
      </c>
      <c r="B634" t="s">
        <v>633</v>
      </c>
    </row>
    <row r="635" spans="1:2" x14ac:dyDescent="0.2">
      <c r="A635" s="4">
        <v>2175</v>
      </c>
      <c r="B635" t="s">
        <v>634</v>
      </c>
    </row>
    <row r="636" spans="1:2" x14ac:dyDescent="0.2">
      <c r="A636" s="4">
        <v>2176</v>
      </c>
      <c r="B636" t="s">
        <v>635</v>
      </c>
    </row>
    <row r="637" spans="1:2" x14ac:dyDescent="0.2">
      <c r="A637" s="4">
        <v>2177</v>
      </c>
      <c r="B637" t="s">
        <v>636</v>
      </c>
    </row>
    <row r="638" spans="1:2" x14ac:dyDescent="0.2">
      <c r="A638" s="4">
        <v>2178</v>
      </c>
      <c r="B638" t="s">
        <v>637</v>
      </c>
    </row>
    <row r="639" spans="1:2" x14ac:dyDescent="0.2">
      <c r="A639" s="4">
        <v>2179</v>
      </c>
      <c r="B639" t="s">
        <v>638</v>
      </c>
    </row>
    <row r="640" spans="1:2" x14ac:dyDescent="0.2">
      <c r="A640" s="4">
        <v>2180</v>
      </c>
      <c r="B640" t="s">
        <v>639</v>
      </c>
    </row>
    <row r="641" spans="1:2" x14ac:dyDescent="0.2">
      <c r="A641" s="4">
        <v>2182</v>
      </c>
      <c r="B641" t="s">
        <v>640</v>
      </c>
    </row>
    <row r="642" spans="1:2" x14ac:dyDescent="0.2">
      <c r="A642" s="4">
        <v>2183</v>
      </c>
      <c r="B642" t="s">
        <v>641</v>
      </c>
    </row>
    <row r="643" spans="1:2" x14ac:dyDescent="0.2">
      <c r="A643" s="4">
        <v>2184</v>
      </c>
      <c r="B643" t="s">
        <v>642</v>
      </c>
    </row>
    <row r="644" spans="1:2" x14ac:dyDescent="0.2">
      <c r="A644" s="4">
        <v>2185</v>
      </c>
      <c r="B644" t="s">
        <v>643</v>
      </c>
    </row>
    <row r="645" spans="1:2" x14ac:dyDescent="0.2">
      <c r="A645" s="4">
        <v>2186</v>
      </c>
      <c r="B645" t="s">
        <v>644</v>
      </c>
    </row>
    <row r="646" spans="1:2" x14ac:dyDescent="0.2">
      <c r="A646" s="4">
        <v>2187</v>
      </c>
      <c r="B646" t="s">
        <v>645</v>
      </c>
    </row>
    <row r="647" spans="1:2" x14ac:dyDescent="0.2">
      <c r="A647" s="4">
        <v>2188</v>
      </c>
      <c r="B647" t="s">
        <v>646</v>
      </c>
    </row>
    <row r="648" spans="1:2" x14ac:dyDescent="0.2">
      <c r="A648" s="4">
        <v>2189</v>
      </c>
      <c r="B648" t="s">
        <v>647</v>
      </c>
    </row>
    <row r="649" spans="1:2" x14ac:dyDescent="0.2">
      <c r="A649" s="4">
        <v>2190</v>
      </c>
      <c r="B649" t="s">
        <v>648</v>
      </c>
    </row>
    <row r="650" spans="1:2" x14ac:dyDescent="0.2">
      <c r="A650" s="4">
        <v>2194</v>
      </c>
      <c r="B650" t="s">
        <v>649</v>
      </c>
    </row>
    <row r="651" spans="1:2" x14ac:dyDescent="0.2">
      <c r="A651" s="4">
        <v>2195</v>
      </c>
      <c r="B651" t="s">
        <v>650</v>
      </c>
    </row>
    <row r="652" spans="1:2" x14ac:dyDescent="0.2">
      <c r="A652" s="4">
        <v>2196</v>
      </c>
      <c r="B652" t="s">
        <v>651</v>
      </c>
    </row>
    <row r="653" spans="1:2" x14ac:dyDescent="0.2">
      <c r="A653" s="4">
        <v>2197</v>
      </c>
      <c r="B653" t="s">
        <v>652</v>
      </c>
    </row>
    <row r="654" spans="1:2" x14ac:dyDescent="0.2">
      <c r="A654" s="4">
        <v>2198</v>
      </c>
      <c r="B654" t="s">
        <v>653</v>
      </c>
    </row>
    <row r="655" spans="1:2" x14ac:dyDescent="0.2">
      <c r="A655" s="4">
        <v>2199</v>
      </c>
      <c r="B655" t="s">
        <v>654</v>
      </c>
    </row>
    <row r="656" spans="1:2" x14ac:dyDescent="0.2">
      <c r="A656" s="4">
        <v>2200</v>
      </c>
      <c r="B656" t="s">
        <v>655</v>
      </c>
    </row>
    <row r="657" spans="1:2" x14ac:dyDescent="0.2">
      <c r="A657" s="4">
        <v>2201</v>
      </c>
      <c r="B657" t="s">
        <v>656</v>
      </c>
    </row>
    <row r="658" spans="1:2" x14ac:dyDescent="0.2">
      <c r="A658" s="4">
        <v>2202</v>
      </c>
      <c r="B658" t="s">
        <v>657</v>
      </c>
    </row>
    <row r="659" spans="1:2" x14ac:dyDescent="0.2">
      <c r="A659" s="4">
        <v>2206</v>
      </c>
      <c r="B659" t="s">
        <v>658</v>
      </c>
    </row>
    <row r="660" spans="1:2" x14ac:dyDescent="0.2">
      <c r="A660" s="4">
        <v>2207</v>
      </c>
      <c r="B660" t="s">
        <v>659</v>
      </c>
    </row>
    <row r="661" spans="1:2" x14ac:dyDescent="0.2">
      <c r="A661" s="4">
        <v>2208</v>
      </c>
      <c r="B661" t="s">
        <v>660</v>
      </c>
    </row>
    <row r="662" spans="1:2" x14ac:dyDescent="0.2">
      <c r="A662" s="4">
        <v>2209</v>
      </c>
      <c r="B662" t="s">
        <v>661</v>
      </c>
    </row>
    <row r="663" spans="1:2" x14ac:dyDescent="0.2">
      <c r="A663" s="4">
        <v>2210</v>
      </c>
      <c r="B663" t="s">
        <v>662</v>
      </c>
    </row>
    <row r="664" spans="1:2" x14ac:dyDescent="0.2">
      <c r="A664" s="4">
        <v>2211</v>
      </c>
      <c r="B664" t="s">
        <v>663</v>
      </c>
    </row>
    <row r="665" spans="1:2" x14ac:dyDescent="0.2">
      <c r="A665" s="4">
        <v>2212</v>
      </c>
      <c r="B665" t="s">
        <v>664</v>
      </c>
    </row>
    <row r="666" spans="1:2" x14ac:dyDescent="0.2">
      <c r="A666" s="4">
        <v>2213</v>
      </c>
      <c r="B666" t="s">
        <v>665</v>
      </c>
    </row>
    <row r="667" spans="1:2" x14ac:dyDescent="0.2">
      <c r="A667" s="4">
        <v>2214</v>
      </c>
      <c r="B667" t="s">
        <v>666</v>
      </c>
    </row>
    <row r="668" spans="1:2" x14ac:dyDescent="0.2">
      <c r="A668" s="4">
        <v>2215</v>
      </c>
      <c r="B668" t="s">
        <v>667</v>
      </c>
    </row>
    <row r="669" spans="1:2" x14ac:dyDescent="0.2">
      <c r="A669" s="4">
        <v>2216</v>
      </c>
      <c r="B669" t="s">
        <v>668</v>
      </c>
    </row>
    <row r="670" spans="1:2" x14ac:dyDescent="0.2">
      <c r="A670" s="4">
        <v>2217</v>
      </c>
      <c r="B670" t="s">
        <v>669</v>
      </c>
    </row>
    <row r="671" spans="1:2" x14ac:dyDescent="0.2">
      <c r="A671" s="4">
        <v>2218</v>
      </c>
      <c r="B671" t="s">
        <v>670</v>
      </c>
    </row>
    <row r="672" spans="1:2" x14ac:dyDescent="0.2">
      <c r="A672" s="4">
        <v>2219</v>
      </c>
      <c r="B672" t="s">
        <v>671</v>
      </c>
    </row>
    <row r="673" spans="1:2" x14ac:dyDescent="0.2">
      <c r="A673" s="4">
        <v>2220</v>
      </c>
      <c r="B673" t="s">
        <v>672</v>
      </c>
    </row>
    <row r="674" spans="1:2" x14ac:dyDescent="0.2">
      <c r="A674" s="4">
        <v>2223</v>
      </c>
      <c r="B674" t="s">
        <v>673</v>
      </c>
    </row>
    <row r="675" spans="1:2" x14ac:dyDescent="0.2">
      <c r="A675" s="4">
        <v>2224</v>
      </c>
      <c r="B675" t="s">
        <v>674</v>
      </c>
    </row>
    <row r="676" spans="1:2" x14ac:dyDescent="0.2">
      <c r="A676" s="4">
        <v>2225</v>
      </c>
      <c r="B676" t="s">
        <v>675</v>
      </c>
    </row>
    <row r="677" spans="1:2" x14ac:dyDescent="0.2">
      <c r="A677" s="4">
        <v>2226</v>
      </c>
      <c r="B677" t="s">
        <v>676</v>
      </c>
    </row>
    <row r="678" spans="1:2" x14ac:dyDescent="0.2">
      <c r="A678" s="4">
        <v>2227</v>
      </c>
      <c r="B678" t="s">
        <v>677</v>
      </c>
    </row>
    <row r="679" spans="1:2" x14ac:dyDescent="0.2">
      <c r="A679" s="4">
        <v>2228</v>
      </c>
      <c r="B679" t="s">
        <v>678</v>
      </c>
    </row>
    <row r="680" spans="1:2" x14ac:dyDescent="0.2">
      <c r="A680" s="4">
        <v>2229</v>
      </c>
      <c r="B680" t="s">
        <v>679</v>
      </c>
    </row>
    <row r="681" spans="1:2" x14ac:dyDescent="0.2">
      <c r="A681" s="4">
        <v>2230</v>
      </c>
      <c r="B681" t="s">
        <v>680</v>
      </c>
    </row>
    <row r="682" spans="1:2" x14ac:dyDescent="0.2">
      <c r="A682" s="4">
        <v>2231</v>
      </c>
      <c r="B682" t="s">
        <v>681</v>
      </c>
    </row>
    <row r="683" spans="1:2" x14ac:dyDescent="0.2">
      <c r="A683" s="4">
        <v>2232</v>
      </c>
      <c r="B683" t="s">
        <v>682</v>
      </c>
    </row>
    <row r="684" spans="1:2" x14ac:dyDescent="0.2">
      <c r="A684" s="4">
        <v>2233</v>
      </c>
      <c r="B684" t="s">
        <v>683</v>
      </c>
    </row>
    <row r="685" spans="1:2" x14ac:dyDescent="0.2">
      <c r="A685" s="4">
        <v>2234</v>
      </c>
      <c r="B685" t="s">
        <v>684</v>
      </c>
    </row>
    <row r="686" spans="1:2" x14ac:dyDescent="0.2">
      <c r="A686" s="4">
        <v>2235</v>
      </c>
      <c r="B686" t="s">
        <v>685</v>
      </c>
    </row>
    <row r="687" spans="1:2" x14ac:dyDescent="0.2">
      <c r="A687" s="4">
        <v>2236</v>
      </c>
      <c r="B687" t="s">
        <v>686</v>
      </c>
    </row>
    <row r="688" spans="1:2" x14ac:dyDescent="0.2">
      <c r="A688" s="4">
        <v>2237</v>
      </c>
      <c r="B688" t="s">
        <v>687</v>
      </c>
    </row>
    <row r="689" spans="1:2" x14ac:dyDescent="0.2">
      <c r="A689" s="4">
        <v>2238</v>
      </c>
      <c r="B689" t="s">
        <v>688</v>
      </c>
    </row>
    <row r="690" spans="1:2" x14ac:dyDescent="0.2">
      <c r="A690" s="4">
        <v>2279</v>
      </c>
      <c r="B690" t="s">
        <v>689</v>
      </c>
    </row>
    <row r="691" spans="1:2" x14ac:dyDescent="0.2">
      <c r="A691" s="4">
        <v>2280</v>
      </c>
      <c r="B691" t="s">
        <v>690</v>
      </c>
    </row>
    <row r="692" spans="1:2" x14ac:dyDescent="0.2">
      <c r="A692" s="4">
        <v>2281</v>
      </c>
      <c r="B692" t="s">
        <v>691</v>
      </c>
    </row>
    <row r="693" spans="1:2" x14ac:dyDescent="0.2">
      <c r="A693" s="4">
        <v>2282</v>
      </c>
      <c r="B693" t="s">
        <v>692</v>
      </c>
    </row>
    <row r="694" spans="1:2" x14ac:dyDescent="0.2">
      <c r="A694" s="4">
        <v>2283</v>
      </c>
      <c r="B694" t="s">
        <v>693</v>
      </c>
    </row>
    <row r="695" spans="1:2" x14ac:dyDescent="0.2">
      <c r="A695" s="4">
        <v>2284</v>
      </c>
      <c r="B695" t="s">
        <v>694</v>
      </c>
    </row>
    <row r="696" spans="1:2" x14ac:dyDescent="0.2">
      <c r="A696" s="4">
        <v>2285</v>
      </c>
      <c r="B696" t="s">
        <v>695</v>
      </c>
    </row>
    <row r="697" spans="1:2" x14ac:dyDescent="0.2">
      <c r="A697" s="4">
        <v>2286</v>
      </c>
      <c r="B697" t="s">
        <v>696</v>
      </c>
    </row>
    <row r="698" spans="1:2" x14ac:dyDescent="0.2">
      <c r="A698" s="4">
        <v>2287</v>
      </c>
      <c r="B698" t="s">
        <v>697</v>
      </c>
    </row>
    <row r="699" spans="1:2" x14ac:dyDescent="0.2">
      <c r="A699" s="4">
        <v>2288</v>
      </c>
      <c r="B699" t="s">
        <v>698</v>
      </c>
    </row>
    <row r="700" spans="1:2" x14ac:dyDescent="0.2">
      <c r="A700" s="4">
        <v>2289</v>
      </c>
      <c r="B700" t="s">
        <v>699</v>
      </c>
    </row>
    <row r="701" spans="1:2" x14ac:dyDescent="0.2">
      <c r="A701" s="4">
        <v>2290</v>
      </c>
      <c r="B701" t="s">
        <v>700</v>
      </c>
    </row>
    <row r="702" spans="1:2" x14ac:dyDescent="0.2">
      <c r="A702" s="4">
        <v>2291</v>
      </c>
      <c r="B702" t="s">
        <v>701</v>
      </c>
    </row>
    <row r="703" spans="1:2" x14ac:dyDescent="0.2">
      <c r="A703" s="4">
        <v>2292</v>
      </c>
      <c r="B703" t="s">
        <v>702</v>
      </c>
    </row>
    <row r="704" spans="1:2" x14ac:dyDescent="0.2">
      <c r="A704" s="4">
        <v>2293</v>
      </c>
      <c r="B704" t="s">
        <v>703</v>
      </c>
    </row>
    <row r="705" spans="1:2" x14ac:dyDescent="0.2">
      <c r="A705" s="4">
        <v>2294</v>
      </c>
      <c r="B705" t="s">
        <v>704</v>
      </c>
    </row>
    <row r="706" spans="1:2" x14ac:dyDescent="0.2">
      <c r="A706" s="4">
        <v>2295</v>
      </c>
      <c r="B706" t="s">
        <v>705</v>
      </c>
    </row>
    <row r="707" spans="1:2" x14ac:dyDescent="0.2">
      <c r="A707" s="4">
        <v>2296</v>
      </c>
      <c r="B707" t="s">
        <v>706</v>
      </c>
    </row>
    <row r="708" spans="1:2" x14ac:dyDescent="0.2">
      <c r="A708" s="4">
        <v>2297</v>
      </c>
      <c r="B708" t="s">
        <v>707</v>
      </c>
    </row>
    <row r="709" spans="1:2" x14ac:dyDescent="0.2">
      <c r="A709" s="4">
        <v>2298</v>
      </c>
      <c r="B709" t="s">
        <v>708</v>
      </c>
    </row>
    <row r="710" spans="1:2" x14ac:dyDescent="0.2">
      <c r="A710" s="4">
        <v>2299</v>
      </c>
      <c r="B710" t="s">
        <v>709</v>
      </c>
    </row>
    <row r="711" spans="1:2" x14ac:dyDescent="0.2">
      <c r="A711" s="4">
        <v>2300</v>
      </c>
      <c r="B711" t="s">
        <v>710</v>
      </c>
    </row>
    <row r="712" spans="1:2" x14ac:dyDescent="0.2">
      <c r="A712" s="4">
        <v>2304</v>
      </c>
      <c r="B712" t="s">
        <v>711</v>
      </c>
    </row>
    <row r="713" spans="1:2" x14ac:dyDescent="0.2">
      <c r="A713" s="4">
        <v>2305</v>
      </c>
      <c r="B713" t="s">
        <v>712</v>
      </c>
    </row>
    <row r="714" spans="1:2" x14ac:dyDescent="0.2">
      <c r="A714" s="4">
        <v>2306</v>
      </c>
      <c r="B714" t="s">
        <v>713</v>
      </c>
    </row>
    <row r="715" spans="1:2" x14ac:dyDescent="0.2">
      <c r="A715" s="4">
        <v>2307</v>
      </c>
      <c r="B715" t="s">
        <v>714</v>
      </c>
    </row>
    <row r="716" spans="1:2" x14ac:dyDescent="0.2">
      <c r="A716" s="4">
        <v>2308</v>
      </c>
      <c r="B716" t="s">
        <v>715</v>
      </c>
    </row>
    <row r="717" spans="1:2" x14ac:dyDescent="0.2">
      <c r="A717" s="4">
        <v>2309</v>
      </c>
      <c r="B717" t="s">
        <v>716</v>
      </c>
    </row>
    <row r="718" spans="1:2" x14ac:dyDescent="0.2">
      <c r="A718" s="4">
        <v>2310</v>
      </c>
      <c r="B718" t="s">
        <v>717</v>
      </c>
    </row>
    <row r="719" spans="1:2" x14ac:dyDescent="0.2">
      <c r="A719" s="4">
        <v>2311</v>
      </c>
      <c r="B719" t="s">
        <v>718</v>
      </c>
    </row>
    <row r="720" spans="1:2" x14ac:dyDescent="0.2">
      <c r="A720" s="4">
        <v>2312</v>
      </c>
      <c r="B720" t="s">
        <v>719</v>
      </c>
    </row>
    <row r="721" spans="1:2" x14ac:dyDescent="0.2">
      <c r="A721" s="4">
        <v>2313</v>
      </c>
      <c r="B721" t="s">
        <v>720</v>
      </c>
    </row>
    <row r="722" spans="1:2" x14ac:dyDescent="0.2">
      <c r="A722" s="4">
        <v>2314</v>
      </c>
      <c r="B722" t="s">
        <v>721</v>
      </c>
    </row>
    <row r="723" spans="1:2" x14ac:dyDescent="0.2">
      <c r="A723" s="4">
        <v>2315</v>
      </c>
      <c r="B723" t="s">
        <v>722</v>
      </c>
    </row>
    <row r="724" spans="1:2" x14ac:dyDescent="0.2">
      <c r="A724" s="4">
        <v>2316</v>
      </c>
      <c r="B724" t="s">
        <v>723</v>
      </c>
    </row>
    <row r="725" spans="1:2" x14ac:dyDescent="0.2">
      <c r="A725" s="4">
        <v>2318</v>
      </c>
      <c r="B725" t="s">
        <v>724</v>
      </c>
    </row>
    <row r="726" spans="1:2" x14ac:dyDescent="0.2">
      <c r="A726" s="4">
        <v>2319</v>
      </c>
      <c r="B726" t="s">
        <v>725</v>
      </c>
    </row>
    <row r="727" spans="1:2" x14ac:dyDescent="0.2">
      <c r="A727" s="4">
        <v>2320</v>
      </c>
      <c r="B727" t="s">
        <v>726</v>
      </c>
    </row>
    <row r="728" spans="1:2" x14ac:dyDescent="0.2">
      <c r="A728" s="4">
        <v>2321</v>
      </c>
      <c r="B728" t="s">
        <v>727</v>
      </c>
    </row>
    <row r="729" spans="1:2" x14ac:dyDescent="0.2">
      <c r="A729" s="4">
        <v>2322</v>
      </c>
      <c r="B729" t="s">
        <v>728</v>
      </c>
    </row>
    <row r="730" spans="1:2" x14ac:dyDescent="0.2">
      <c r="A730" s="4">
        <v>2323</v>
      </c>
      <c r="B730" t="s">
        <v>729</v>
      </c>
    </row>
    <row r="731" spans="1:2" x14ac:dyDescent="0.2">
      <c r="A731" s="4">
        <v>2324</v>
      </c>
      <c r="B731" t="s">
        <v>730</v>
      </c>
    </row>
    <row r="732" spans="1:2" x14ac:dyDescent="0.2">
      <c r="A732" s="4">
        <v>2325</v>
      </c>
      <c r="B732" t="s">
        <v>731</v>
      </c>
    </row>
    <row r="733" spans="1:2" x14ac:dyDescent="0.2">
      <c r="A733" s="4">
        <v>2326</v>
      </c>
      <c r="B733" t="s">
        <v>732</v>
      </c>
    </row>
    <row r="734" spans="1:2" x14ac:dyDescent="0.2">
      <c r="A734" s="4">
        <v>2327</v>
      </c>
      <c r="B734" t="s">
        <v>733</v>
      </c>
    </row>
    <row r="735" spans="1:2" x14ac:dyDescent="0.2">
      <c r="A735" s="4">
        <v>2328</v>
      </c>
      <c r="B735" t="s">
        <v>734</v>
      </c>
    </row>
    <row r="736" spans="1:2" x14ac:dyDescent="0.2">
      <c r="A736" s="4">
        <v>2329</v>
      </c>
      <c r="B736" t="s">
        <v>735</v>
      </c>
    </row>
    <row r="737" spans="1:2" x14ac:dyDescent="0.2">
      <c r="A737" s="4">
        <v>2330</v>
      </c>
      <c r="B737" t="s">
        <v>736</v>
      </c>
    </row>
    <row r="738" spans="1:2" x14ac:dyDescent="0.2">
      <c r="A738" s="4">
        <v>2331</v>
      </c>
      <c r="B738" t="s">
        <v>737</v>
      </c>
    </row>
    <row r="739" spans="1:2" x14ac:dyDescent="0.2">
      <c r="A739" s="4">
        <v>2332</v>
      </c>
      <c r="B739" t="s">
        <v>738</v>
      </c>
    </row>
    <row r="740" spans="1:2" x14ac:dyDescent="0.2">
      <c r="A740" s="4">
        <v>2333</v>
      </c>
      <c r="B740" t="s">
        <v>739</v>
      </c>
    </row>
    <row r="741" spans="1:2" x14ac:dyDescent="0.2">
      <c r="A741" s="4">
        <v>2334</v>
      </c>
      <c r="B741" t="s">
        <v>740</v>
      </c>
    </row>
    <row r="742" spans="1:2" x14ac:dyDescent="0.2">
      <c r="A742" s="4">
        <v>2335</v>
      </c>
      <c r="B742" t="s">
        <v>741</v>
      </c>
    </row>
    <row r="743" spans="1:2" x14ac:dyDescent="0.2">
      <c r="A743" s="4">
        <v>2336</v>
      </c>
      <c r="B743" t="s">
        <v>742</v>
      </c>
    </row>
    <row r="744" spans="1:2" x14ac:dyDescent="0.2">
      <c r="A744" s="4">
        <v>2337</v>
      </c>
      <c r="B744" t="s">
        <v>743</v>
      </c>
    </row>
    <row r="745" spans="1:2" x14ac:dyDescent="0.2">
      <c r="A745" s="4">
        <v>2338</v>
      </c>
      <c r="B745" t="s">
        <v>744</v>
      </c>
    </row>
    <row r="746" spans="1:2" x14ac:dyDescent="0.2">
      <c r="A746" s="4">
        <v>2339</v>
      </c>
      <c r="B746" t="s">
        <v>745</v>
      </c>
    </row>
    <row r="747" spans="1:2" x14ac:dyDescent="0.2">
      <c r="A747" s="4">
        <v>2340</v>
      </c>
      <c r="B747" t="s">
        <v>746</v>
      </c>
    </row>
    <row r="748" spans="1:2" x14ac:dyDescent="0.2">
      <c r="A748" s="4">
        <v>2341</v>
      </c>
      <c r="B748" t="s">
        <v>747</v>
      </c>
    </row>
    <row r="749" spans="1:2" x14ac:dyDescent="0.2">
      <c r="A749" s="4">
        <v>2342</v>
      </c>
      <c r="B749" t="s">
        <v>748</v>
      </c>
    </row>
    <row r="750" spans="1:2" x14ac:dyDescent="0.2">
      <c r="A750" s="4">
        <v>2343</v>
      </c>
      <c r="B750" t="s">
        <v>749</v>
      </c>
    </row>
    <row r="751" spans="1:2" x14ac:dyDescent="0.2">
      <c r="A751" s="4">
        <v>2344</v>
      </c>
      <c r="B751" t="s">
        <v>750</v>
      </c>
    </row>
    <row r="752" spans="1:2" x14ac:dyDescent="0.2">
      <c r="A752" s="4">
        <v>2345</v>
      </c>
      <c r="B752" t="s">
        <v>734</v>
      </c>
    </row>
    <row r="753" spans="1:2" x14ac:dyDescent="0.2">
      <c r="A753" s="4">
        <v>2346</v>
      </c>
      <c r="B753" t="s">
        <v>751</v>
      </c>
    </row>
    <row r="754" spans="1:2" x14ac:dyDescent="0.2">
      <c r="A754" s="4">
        <v>2347</v>
      </c>
      <c r="B754" t="s">
        <v>752</v>
      </c>
    </row>
    <row r="755" spans="1:2" x14ac:dyDescent="0.2">
      <c r="A755" s="4">
        <v>2348</v>
      </c>
      <c r="B755" t="s">
        <v>753</v>
      </c>
    </row>
    <row r="756" spans="1:2" x14ac:dyDescent="0.2">
      <c r="A756" s="4">
        <v>2349</v>
      </c>
      <c r="B756" t="s">
        <v>754</v>
      </c>
    </row>
    <row r="757" spans="1:2" x14ac:dyDescent="0.2">
      <c r="A757" s="4">
        <v>2350</v>
      </c>
      <c r="B757" t="s">
        <v>755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0"/>
  <sheetViews>
    <sheetView showGridLines="0" tabSelected="1" workbookViewId="0">
      <selection activeCell="N30" sqref="N30"/>
    </sheetView>
  </sheetViews>
  <sheetFormatPr defaultRowHeight="12.75" x14ac:dyDescent="0.2"/>
  <cols>
    <col min="1" max="1" width="4.42578125" customWidth="1"/>
    <col min="2" max="2" width="3.7109375" customWidth="1"/>
    <col min="3" max="3" width="6.28515625" bestFit="1" customWidth="1"/>
    <col min="4" max="4" width="6.85546875" bestFit="1" customWidth="1"/>
    <col min="5" max="5" width="11" customWidth="1"/>
    <col min="6" max="6" width="1.28515625" customWidth="1"/>
    <col min="7" max="7" width="2.42578125" customWidth="1"/>
    <col min="8" max="8" width="10.85546875" customWidth="1"/>
    <col min="9" max="9" width="1.28515625" customWidth="1"/>
    <col min="10" max="10" width="12.5703125" customWidth="1"/>
    <col min="11" max="11" width="7" customWidth="1"/>
    <col min="12" max="12" width="5.7109375" customWidth="1"/>
    <col min="13" max="13" width="5.28515625" customWidth="1"/>
    <col min="14" max="14" width="72.42578125" bestFit="1" customWidth="1"/>
  </cols>
  <sheetData>
    <row r="1" spans="1:14" ht="10.35" customHeight="1" x14ac:dyDescent="0.2">
      <c r="A1" s="14"/>
      <c r="B1" s="14"/>
      <c r="C1" s="14"/>
      <c r="D1" s="14"/>
      <c r="E1" s="14"/>
      <c r="F1" s="14"/>
      <c r="G1" s="14"/>
      <c r="H1" s="14"/>
      <c r="I1" s="14"/>
      <c r="J1" s="14"/>
    </row>
    <row r="2" spans="1:14" ht="12.6" customHeight="1" x14ac:dyDescent="0.2">
      <c r="A2" s="15"/>
      <c r="B2" s="15"/>
      <c r="C2" s="15"/>
      <c r="D2" s="15"/>
    </row>
    <row r="3" spans="1:14" ht="11.85" customHeight="1" x14ac:dyDescent="0.2">
      <c r="A3" s="1"/>
    </row>
    <row r="4" spans="1:14" ht="11.85" customHeight="1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4" ht="11.85" customHeight="1" x14ac:dyDescent="0.2">
      <c r="A5" s="11" t="s">
        <v>1</v>
      </c>
      <c r="B5" s="11"/>
      <c r="C5" s="5" t="s">
        <v>5</v>
      </c>
      <c r="D5" s="5" t="s">
        <v>4</v>
      </c>
      <c r="E5" s="3" t="s">
        <v>3</v>
      </c>
      <c r="G5" s="13" t="s">
        <v>2</v>
      </c>
      <c r="H5" s="13"/>
      <c r="I5" s="12" t="s">
        <v>0</v>
      </c>
      <c r="J5" s="12"/>
      <c r="K5" s="12"/>
      <c r="L5" s="12"/>
      <c r="N5" s="6" t="s">
        <v>758</v>
      </c>
    </row>
    <row r="6" spans="1:14" ht="11.85" customHeight="1" x14ac:dyDescent="0.2">
      <c r="A6" s="8">
        <v>46239</v>
      </c>
      <c r="B6" s="8"/>
      <c r="C6" s="4">
        <v>5</v>
      </c>
      <c r="D6" s="4">
        <v>467</v>
      </c>
      <c r="E6" s="2">
        <v>352.83</v>
      </c>
      <c r="G6" s="9">
        <v>0</v>
      </c>
      <c r="H6" s="9"/>
      <c r="J6" s="10" t="s">
        <v>6</v>
      </c>
      <c r="K6" s="10"/>
      <c r="L6" s="10"/>
      <c r="M6" s="10"/>
      <c r="N6" t="str">
        <f>IFERROR(VLOOKUP(D6, Fornecedores!A:B, 2, FALSE), "")</f>
        <v/>
      </c>
    </row>
    <row r="7" spans="1:14" ht="11.85" customHeight="1" x14ac:dyDescent="0.2">
      <c r="A7" s="8">
        <v>46239</v>
      </c>
      <c r="B7" s="8"/>
      <c r="D7" s="4">
        <v>5</v>
      </c>
      <c r="E7" s="2">
        <v>349.68</v>
      </c>
      <c r="G7" s="9">
        <v>0</v>
      </c>
      <c r="H7" s="9"/>
      <c r="J7" s="10" t="s">
        <v>7</v>
      </c>
      <c r="K7" s="10"/>
      <c r="L7" s="10"/>
      <c r="M7" s="10"/>
      <c r="N7" t="str">
        <f>IFERROR(VLOOKUP(D7, Fornecedores!A:B, 2, FALSE), "")</f>
        <v/>
      </c>
    </row>
    <row r="8" spans="1:14" ht="11.85" customHeight="1" x14ac:dyDescent="0.2">
      <c r="A8" s="8">
        <v>46239</v>
      </c>
      <c r="B8" s="8"/>
      <c r="C8" s="7">
        <v>1021</v>
      </c>
      <c r="D8" s="4">
        <v>5</v>
      </c>
      <c r="E8" s="2">
        <v>146</v>
      </c>
      <c r="G8" s="9">
        <v>0</v>
      </c>
      <c r="H8" s="9"/>
      <c r="J8" s="10" t="s">
        <v>7</v>
      </c>
      <c r="K8" s="10"/>
      <c r="L8" s="10"/>
      <c r="M8" s="10"/>
      <c r="N8" t="str">
        <f>IFERROR(VLOOKUP(C8, Fornecedores!A:B, 2, FALSE), "")</f>
        <v/>
      </c>
    </row>
    <row r="9" spans="1:14" ht="11.85" customHeight="1" x14ac:dyDescent="0.2">
      <c r="A9" s="8">
        <v>46239</v>
      </c>
      <c r="B9" s="8"/>
      <c r="C9" s="7">
        <v>1021</v>
      </c>
      <c r="D9" s="4">
        <v>5</v>
      </c>
      <c r="E9" s="2">
        <v>433</v>
      </c>
      <c r="G9" s="9">
        <v>0</v>
      </c>
      <c r="H9" s="9"/>
      <c r="J9" s="10" t="s">
        <v>7</v>
      </c>
      <c r="K9" s="10"/>
      <c r="L9" s="10"/>
      <c r="M9" s="10"/>
      <c r="N9" t="str">
        <f>IFERROR(VLOOKUP(C9, Fornecedores!A:B, 2, FALSE), "")</f>
        <v/>
      </c>
    </row>
    <row r="10" spans="1:14" ht="11.85" customHeight="1" x14ac:dyDescent="0.2">
      <c r="A10" s="8">
        <v>46239</v>
      </c>
      <c r="B10" s="8"/>
      <c r="C10" s="7">
        <v>1021</v>
      </c>
      <c r="D10" s="4">
        <v>5</v>
      </c>
      <c r="E10" s="2">
        <v>203.5</v>
      </c>
      <c r="G10" s="9">
        <v>0</v>
      </c>
      <c r="H10" s="9"/>
      <c r="J10" s="10" t="s">
        <v>7</v>
      </c>
      <c r="K10" s="10"/>
      <c r="L10" s="10"/>
      <c r="M10" s="10"/>
      <c r="N10" t="str">
        <f>IFERROR(VLOOKUP(C10, Fornecedores!A:B, 2, FALSE), "")</f>
        <v/>
      </c>
    </row>
    <row r="11" spans="1:14" ht="11.85" customHeight="1" x14ac:dyDescent="0.2">
      <c r="A11" s="8">
        <v>46239</v>
      </c>
      <c r="B11" s="8"/>
      <c r="C11" s="7">
        <v>913</v>
      </c>
      <c r="D11" s="4">
        <v>5</v>
      </c>
      <c r="E11" s="2">
        <v>450.19</v>
      </c>
      <c r="G11" s="9">
        <v>0</v>
      </c>
      <c r="H11" s="9"/>
      <c r="J11" s="10" t="s">
        <v>7</v>
      </c>
      <c r="K11" s="10"/>
      <c r="L11" s="10"/>
      <c r="M11" s="10"/>
      <c r="N11" t="str">
        <f>IFERROR(VLOOKUP(C11, Fornecedores!A:B, 2, FALSE), "")</f>
        <v/>
      </c>
    </row>
    <row r="12" spans="1:14" ht="11.85" customHeight="1" x14ac:dyDescent="0.2">
      <c r="A12" s="8">
        <v>46239</v>
      </c>
      <c r="B12" s="8"/>
      <c r="C12" s="7">
        <v>1021</v>
      </c>
      <c r="D12" s="4">
        <v>5</v>
      </c>
      <c r="E12" s="2">
        <v>4493.2</v>
      </c>
      <c r="G12" s="9">
        <v>0</v>
      </c>
      <c r="H12" s="9"/>
      <c r="J12" s="10" t="s">
        <v>7</v>
      </c>
      <c r="K12" s="10"/>
      <c r="L12" s="10"/>
      <c r="M12" s="10"/>
      <c r="N12" t="str">
        <f>IFERROR(VLOOKUP(C12, Fornecedores!A:B, 2, FALSE), "")</f>
        <v/>
      </c>
    </row>
    <row r="13" spans="1:14" ht="11.85" customHeight="1" x14ac:dyDescent="0.2">
      <c r="A13" s="8">
        <v>46239</v>
      </c>
      <c r="B13" s="8"/>
      <c r="C13" s="7">
        <v>1021</v>
      </c>
      <c r="D13" s="4">
        <v>5</v>
      </c>
      <c r="E13" s="2">
        <v>18</v>
      </c>
      <c r="G13" s="9">
        <v>0</v>
      </c>
      <c r="H13" s="9"/>
      <c r="J13" s="10" t="s">
        <v>7</v>
      </c>
      <c r="K13" s="10"/>
      <c r="L13" s="10"/>
      <c r="M13" s="10"/>
      <c r="N13" t="str">
        <f>IFERROR(VLOOKUP(C13, Fornecedores!A:B, 2, FALSE), "")</f>
        <v/>
      </c>
    </row>
    <row r="14" spans="1:14" ht="11.85" customHeight="1" x14ac:dyDescent="0.2">
      <c r="A14" s="8">
        <v>46239</v>
      </c>
      <c r="B14" s="8"/>
      <c r="C14" s="7">
        <v>1021</v>
      </c>
      <c r="D14" s="4">
        <v>5</v>
      </c>
      <c r="E14" s="2">
        <v>94.91</v>
      </c>
      <c r="G14" s="9">
        <v>0</v>
      </c>
      <c r="H14" s="9"/>
      <c r="J14" s="10" t="s">
        <v>7</v>
      </c>
      <c r="K14" s="10"/>
      <c r="L14" s="10"/>
      <c r="M14" s="10"/>
      <c r="N14" t="str">
        <f>IFERROR(VLOOKUP(C14, Fornecedores!A:B, 2, FALSE), "")</f>
        <v/>
      </c>
    </row>
    <row r="15" spans="1:14" ht="11.85" customHeight="1" x14ac:dyDescent="0.2">
      <c r="A15" s="8">
        <v>46239</v>
      </c>
      <c r="B15" s="8"/>
      <c r="C15" s="7">
        <v>1021</v>
      </c>
      <c r="D15" s="4">
        <v>5</v>
      </c>
      <c r="E15" s="2">
        <v>22.09</v>
      </c>
      <c r="G15" s="9">
        <v>0</v>
      </c>
      <c r="H15" s="9"/>
      <c r="J15" s="10" t="s">
        <v>7</v>
      </c>
      <c r="K15" s="10"/>
      <c r="L15" s="10"/>
      <c r="M15" s="10"/>
      <c r="N15" t="str">
        <f>IFERROR(VLOOKUP(C15, Fornecedores!A:B, 2, FALSE), "")</f>
        <v/>
      </c>
    </row>
    <row r="16" spans="1:14" ht="11.85" customHeight="1" x14ac:dyDescent="0.2">
      <c r="A16" s="8">
        <v>46239</v>
      </c>
      <c r="B16" s="8"/>
      <c r="D16" s="4">
        <v>5</v>
      </c>
      <c r="E16" s="2">
        <v>13800</v>
      </c>
      <c r="G16" s="9">
        <v>0</v>
      </c>
      <c r="H16" s="9"/>
      <c r="J16" s="10" t="s">
        <v>7</v>
      </c>
      <c r="K16" s="10"/>
      <c r="L16" s="10"/>
      <c r="M16" s="10"/>
      <c r="N16" t="str">
        <f>IFERROR(VLOOKUP(D16, Fornecedores!A:B, 2, FALSE), "")</f>
        <v/>
      </c>
    </row>
    <row r="17" spans="1:14" ht="11.85" customHeight="1" x14ac:dyDescent="0.2">
      <c r="A17" s="8">
        <v>46239</v>
      </c>
      <c r="B17" s="8"/>
      <c r="D17" s="4">
        <v>5</v>
      </c>
      <c r="E17" s="2">
        <v>480</v>
      </c>
      <c r="G17" s="9">
        <v>0</v>
      </c>
      <c r="H17" s="9"/>
      <c r="J17" s="10" t="s">
        <v>7</v>
      </c>
      <c r="K17" s="10"/>
      <c r="L17" s="10"/>
      <c r="M17" s="10"/>
      <c r="N17" t="str">
        <f>IFERROR(VLOOKUP(D17, Fornecedores!A:B, 2, FALSE), "")</f>
        <v/>
      </c>
    </row>
    <row r="18" spans="1:14" ht="11.85" customHeight="1" x14ac:dyDescent="0.2">
      <c r="A18" s="8">
        <v>46239</v>
      </c>
      <c r="B18" s="8"/>
      <c r="D18" s="4">
        <v>5</v>
      </c>
      <c r="E18" s="2">
        <v>119.76</v>
      </c>
      <c r="G18" s="9">
        <v>0</v>
      </c>
      <c r="H18" s="9"/>
      <c r="J18" s="10" t="s">
        <v>7</v>
      </c>
      <c r="K18" s="10"/>
      <c r="L18" s="10"/>
      <c r="M18" s="10"/>
      <c r="N18" t="str">
        <f>IFERROR(VLOOKUP(D18, Fornecedores!A:B, 2, FALSE), "")</f>
        <v/>
      </c>
    </row>
    <row r="19" spans="1:14" ht="11.85" customHeight="1" x14ac:dyDescent="0.2">
      <c r="A19" s="8">
        <v>46239</v>
      </c>
      <c r="B19" s="8"/>
      <c r="D19" s="4">
        <v>5</v>
      </c>
      <c r="E19" s="2">
        <v>23</v>
      </c>
      <c r="G19" s="9">
        <v>0</v>
      </c>
      <c r="H19" s="9"/>
      <c r="J19" s="10" t="s">
        <v>7</v>
      </c>
      <c r="K19" s="10"/>
      <c r="L19" s="10"/>
      <c r="M19" s="10"/>
      <c r="N19" t="str">
        <f>IFERROR(VLOOKUP(D19, Fornecedores!A:B, 2, FALSE), "")</f>
        <v/>
      </c>
    </row>
    <row r="20" spans="1:14" ht="11.85" customHeight="1" x14ac:dyDescent="0.2">
      <c r="A20" s="8">
        <v>46239</v>
      </c>
      <c r="B20" s="8"/>
      <c r="D20" s="4">
        <v>5</v>
      </c>
      <c r="E20" s="2">
        <v>126</v>
      </c>
      <c r="G20" s="9">
        <v>0</v>
      </c>
      <c r="H20" s="9"/>
      <c r="J20" s="10" t="s">
        <v>7</v>
      </c>
      <c r="K20" s="10"/>
      <c r="L20" s="10"/>
      <c r="M20" s="10"/>
      <c r="N20" t="str">
        <f>IFERROR(VLOOKUP(D20, Fornecedores!A:B, 2, FALSE), "")</f>
        <v/>
      </c>
    </row>
    <row r="21" spans="1:14" ht="11.85" customHeight="1" x14ac:dyDescent="0.2">
      <c r="A21" s="8">
        <v>46239</v>
      </c>
      <c r="B21" s="8"/>
      <c r="C21" s="7">
        <v>2249</v>
      </c>
      <c r="D21" s="4">
        <v>514</v>
      </c>
      <c r="E21" s="2">
        <v>1690</v>
      </c>
      <c r="G21" s="9">
        <v>0</v>
      </c>
      <c r="H21" s="9"/>
      <c r="J21" s="10" t="s">
        <v>7</v>
      </c>
      <c r="K21" s="10"/>
      <c r="L21" s="10"/>
      <c r="M21" s="10"/>
      <c r="N21" t="str">
        <f>IFERROR(VLOOKUP(D21, Fornecedores!A:B, 2, FALSE), "")</f>
        <v>Nova Era Mineracao Ltda</v>
      </c>
    </row>
    <row r="22" spans="1:14" ht="11.85" customHeight="1" x14ac:dyDescent="0.2">
      <c r="A22" s="8">
        <v>46239</v>
      </c>
      <c r="B22" s="8"/>
      <c r="C22" s="7">
        <v>1647</v>
      </c>
      <c r="D22" s="4">
        <v>519</v>
      </c>
      <c r="E22" s="2">
        <v>276.44</v>
      </c>
      <c r="G22" s="9">
        <v>0</v>
      </c>
      <c r="H22" s="9"/>
      <c r="J22" s="10" t="s">
        <v>7</v>
      </c>
      <c r="K22" s="10"/>
      <c r="L22" s="10"/>
      <c r="M22" s="10"/>
      <c r="N22" t="str">
        <f>IFERROR(VLOOKUP(D22, Fornecedores!A:B, 2, FALSE), "")</f>
        <v>ENCANEL COM. DE MAT. DE CONST. LTDA</v>
      </c>
    </row>
    <row r="23" spans="1:14" ht="11.85" customHeight="1" x14ac:dyDescent="0.2">
      <c r="A23" s="8">
        <v>46239</v>
      </c>
      <c r="B23" s="8"/>
      <c r="C23" s="7">
        <v>926</v>
      </c>
      <c r="D23" s="4">
        <v>520</v>
      </c>
      <c r="E23" s="2">
        <v>1723.63</v>
      </c>
      <c r="G23" s="9">
        <v>0</v>
      </c>
      <c r="H23" s="9"/>
      <c r="J23" s="10" t="s">
        <v>7</v>
      </c>
      <c r="K23" s="10"/>
      <c r="L23" s="10"/>
      <c r="M23" s="10"/>
      <c r="N23" t="str">
        <f>IFERROR(VLOOKUP(D23, Fornecedores!A:B, 2, FALSE), "")</f>
        <v>RENACOR COM. DE TINTAS LTDA (TAQUARALTO)</v>
      </c>
    </row>
    <row r="24" spans="1:14" ht="11.85" customHeight="1" x14ac:dyDescent="0.2">
      <c r="A24" s="8">
        <v>46239</v>
      </c>
      <c r="B24" s="8"/>
      <c r="C24" s="7">
        <v>926</v>
      </c>
      <c r="D24" s="4">
        <v>520</v>
      </c>
      <c r="E24" s="2">
        <v>35196</v>
      </c>
      <c r="G24" s="9">
        <v>0</v>
      </c>
      <c r="H24" s="9"/>
      <c r="J24" s="10" t="s">
        <v>7</v>
      </c>
      <c r="K24" s="10"/>
      <c r="L24" s="10"/>
      <c r="M24" s="10"/>
      <c r="N24" t="str">
        <f>IFERROR(VLOOKUP(D24, Fornecedores!A:B, 2, FALSE), "")</f>
        <v>RENACOR COM. DE TINTAS LTDA (TAQUARALTO)</v>
      </c>
    </row>
    <row r="25" spans="1:14" ht="11.85" customHeight="1" x14ac:dyDescent="0.2">
      <c r="A25" s="8">
        <v>46239</v>
      </c>
      <c r="B25" s="8"/>
      <c r="C25" s="7">
        <v>917</v>
      </c>
      <c r="D25" s="4">
        <v>520</v>
      </c>
      <c r="E25" s="2">
        <v>128</v>
      </c>
      <c r="G25" s="9">
        <v>0</v>
      </c>
      <c r="H25" s="9"/>
      <c r="J25" s="10" t="s">
        <v>7</v>
      </c>
      <c r="K25" s="10"/>
      <c r="L25" s="10"/>
      <c r="M25" s="10"/>
      <c r="N25" t="str">
        <f>IFERROR(VLOOKUP(D25, Fornecedores!A:B, 2, FALSE), "")</f>
        <v>RENACOR COM. DE TINTAS LTDA (TAQUARALTO)</v>
      </c>
    </row>
    <row r="26" spans="1:14" ht="11.85" customHeight="1" x14ac:dyDescent="0.2">
      <c r="A26" s="8">
        <v>46239</v>
      </c>
      <c r="B26" s="8"/>
      <c r="C26" s="7">
        <v>916</v>
      </c>
      <c r="D26" s="4">
        <v>520</v>
      </c>
      <c r="E26" s="2">
        <v>482.82</v>
      </c>
      <c r="G26" s="9">
        <v>0</v>
      </c>
      <c r="H26" s="9"/>
      <c r="J26" s="10" t="s">
        <v>7</v>
      </c>
      <c r="K26" s="10"/>
      <c r="L26" s="10"/>
      <c r="M26" s="10"/>
      <c r="N26" t="str">
        <f>IFERROR(VLOOKUP(D26, Fornecedores!A:B, 2, FALSE), "")</f>
        <v>RENACOR COM. DE TINTAS LTDA (TAQUARALTO)</v>
      </c>
    </row>
    <row r="27" spans="1:14" ht="11.85" customHeight="1" x14ac:dyDescent="0.2">
      <c r="A27" s="8">
        <v>46239</v>
      </c>
      <c r="B27" s="8"/>
      <c r="C27" s="7">
        <v>1027</v>
      </c>
      <c r="D27" s="4">
        <v>522</v>
      </c>
      <c r="E27" s="2">
        <v>231</v>
      </c>
      <c r="G27" s="9">
        <v>0</v>
      </c>
      <c r="H27" s="9"/>
      <c r="J27" s="10" t="s">
        <v>7</v>
      </c>
      <c r="K27" s="10"/>
      <c r="L27" s="10"/>
      <c r="M27" s="10"/>
      <c r="N27" t="str">
        <f>IFERROR(VLOOKUP(D27, Fornecedores!A:B, 2, FALSE), "")</f>
        <v>HILTON GANDRA DE ARRUDA E FILHOS LTDA - EPP</v>
      </c>
    </row>
    <row r="28" spans="1:14" ht="11.85" customHeight="1" x14ac:dyDescent="0.2">
      <c r="A28" s="8">
        <v>46239</v>
      </c>
      <c r="B28" s="8"/>
      <c r="C28" s="7">
        <v>928</v>
      </c>
      <c r="D28" s="4">
        <v>526</v>
      </c>
      <c r="E28" s="2">
        <v>590.14</v>
      </c>
      <c r="G28" s="9">
        <v>0</v>
      </c>
      <c r="H28" s="9"/>
      <c r="J28" s="10" t="s">
        <v>7</v>
      </c>
      <c r="K28" s="10"/>
      <c r="L28" s="10"/>
      <c r="M28" s="10"/>
      <c r="N28" t="str">
        <f>IFERROR(VLOOKUP(D28, Fornecedores!A:B, 2, FALSE), "")</f>
        <v>FERPAM COM. DE FERRAMENTAS PARAFUSOS E MAQUINAS LTDA</v>
      </c>
    </row>
    <row r="29" spans="1:14" ht="11.85" customHeight="1" x14ac:dyDescent="0.2">
      <c r="A29" s="8">
        <v>46239</v>
      </c>
      <c r="B29" s="8"/>
      <c r="C29" s="7">
        <v>2125</v>
      </c>
      <c r="D29" s="4">
        <v>1295</v>
      </c>
      <c r="E29" s="2">
        <v>22585.7</v>
      </c>
      <c r="G29" s="9">
        <v>0</v>
      </c>
      <c r="H29" s="9"/>
      <c r="J29" s="10" t="s">
        <v>7</v>
      </c>
      <c r="K29" s="10"/>
      <c r="L29" s="10"/>
      <c r="M29" s="10"/>
      <c r="N29" t="str">
        <f>IFERROR(VLOOKUP(D29, Fornecedores!A:B, 2, FALSE), "")</f>
        <v>DIVIPLACAS COMERCIO E SERVICOS DE DIVISORIAS LTDA</v>
      </c>
    </row>
    <row r="30" spans="1:14" ht="11.85" customHeight="1" x14ac:dyDescent="0.2">
      <c r="A30" s="8">
        <v>46239</v>
      </c>
      <c r="B30" s="8"/>
      <c r="C30" s="7">
        <v>2125</v>
      </c>
      <c r="D30" s="4">
        <v>1295</v>
      </c>
      <c r="E30" s="2">
        <v>541.4</v>
      </c>
      <c r="G30" s="9">
        <v>0</v>
      </c>
      <c r="H30" s="9"/>
      <c r="J30" s="10" t="s">
        <v>7</v>
      </c>
      <c r="K30" s="10"/>
      <c r="L30" s="10"/>
      <c r="M30" s="10"/>
      <c r="N30" t="str">
        <f>IFERROR(VLOOKUP(D30, Fornecedores!A:B, 2, FALSE), "")</f>
        <v>DIVIPLACAS COMERCIO E SERVICOS DE DIVISORIAS LTDA</v>
      </c>
    </row>
    <row r="31" spans="1:14" ht="11.85" customHeight="1" x14ac:dyDescent="0.2">
      <c r="A31" s="8">
        <v>46239</v>
      </c>
      <c r="B31" s="8"/>
      <c r="C31" s="7">
        <v>1185</v>
      </c>
      <c r="D31" s="4">
        <v>1363</v>
      </c>
      <c r="E31" s="2">
        <v>47152.81</v>
      </c>
      <c r="G31" s="9">
        <v>0</v>
      </c>
      <c r="H31" s="9"/>
      <c r="J31" s="10" t="s">
        <v>7</v>
      </c>
      <c r="K31" s="10"/>
      <c r="L31" s="10"/>
      <c r="M31" s="10"/>
      <c r="N31" t="str">
        <f>IFERROR(VLOOKUP(D31, Fornecedores!A:B, 2, FALSE), "")</f>
        <v>LOCGO PALMAS LOCADORA DE EQUIPAMENTOS PARA CONSTRUCAO LTDA</v>
      </c>
    </row>
    <row r="32" spans="1:14" ht="11.85" customHeight="1" x14ac:dyDescent="0.2">
      <c r="A32" s="8">
        <v>46239</v>
      </c>
      <c r="B32" s="8"/>
      <c r="C32" s="7">
        <v>1185</v>
      </c>
      <c r="D32" s="4">
        <v>1363</v>
      </c>
      <c r="E32" s="2">
        <v>37500</v>
      </c>
      <c r="G32" s="9">
        <v>0</v>
      </c>
      <c r="H32" s="9"/>
      <c r="J32" s="10" t="s">
        <v>7</v>
      </c>
      <c r="K32" s="10"/>
      <c r="L32" s="10"/>
      <c r="M32" s="10"/>
      <c r="N32" t="str">
        <f>IFERROR(VLOOKUP(D32, Fornecedores!A:B, 2, FALSE), "")</f>
        <v>LOCGO PALMAS LOCADORA DE EQUIPAMENTOS PARA CONSTRUCAO LTDA</v>
      </c>
    </row>
    <row r="33" spans="1:14" ht="11.85" customHeight="1" x14ac:dyDescent="0.2">
      <c r="A33" s="8">
        <v>46239</v>
      </c>
      <c r="B33" s="8"/>
      <c r="C33" s="7">
        <v>1025</v>
      </c>
      <c r="D33" s="4">
        <v>1393</v>
      </c>
      <c r="E33" s="2">
        <v>811.62</v>
      </c>
      <c r="G33" s="9">
        <v>0</v>
      </c>
      <c r="H33" s="9"/>
      <c r="J33" s="10" t="s">
        <v>7</v>
      </c>
      <c r="K33" s="10"/>
      <c r="L33" s="10"/>
      <c r="M33" s="10"/>
      <c r="N33" t="str">
        <f>IFERROR(VLOOKUP(D33, Fornecedores!A:B, 2, FALSE), "")</f>
        <v>FERPAM COMERCIO DE BORRACHAS LTDA</v>
      </c>
    </row>
    <row r="34" spans="1:14" ht="11.85" customHeight="1" x14ac:dyDescent="0.2">
      <c r="A34" s="8">
        <v>46239</v>
      </c>
      <c r="B34" s="8"/>
      <c r="C34" s="7">
        <v>1027</v>
      </c>
      <c r="D34" s="4">
        <v>1400</v>
      </c>
      <c r="E34" s="2">
        <v>3812.34</v>
      </c>
      <c r="G34" s="9">
        <v>0</v>
      </c>
      <c r="H34" s="9"/>
      <c r="J34" s="10" t="s">
        <v>7</v>
      </c>
      <c r="K34" s="10"/>
      <c r="L34" s="10"/>
      <c r="M34" s="10"/>
      <c r="N34" t="str">
        <f>IFERROR(VLOOKUP(D34, Fornecedores!A:B, 2, FALSE), "")</f>
        <v>REFRIGERACAO DUFRIO COMERCIO E IMPORTACAO S.A.</v>
      </c>
    </row>
    <row r="35" spans="1:14" ht="11.85" customHeight="1" x14ac:dyDescent="0.2">
      <c r="A35" s="8">
        <v>46239</v>
      </c>
      <c r="B35" s="8"/>
      <c r="C35" s="7">
        <v>983</v>
      </c>
      <c r="D35" s="4">
        <v>1490</v>
      </c>
      <c r="E35" s="2">
        <v>3301.41</v>
      </c>
      <c r="G35" s="9">
        <v>0</v>
      </c>
      <c r="H35" s="9"/>
      <c r="J35" s="10" t="s">
        <v>7</v>
      </c>
      <c r="K35" s="10"/>
      <c r="L35" s="10"/>
      <c r="M35" s="10"/>
      <c r="N35" t="str">
        <f>IFERROR(VLOOKUP(D35, Fornecedores!A:B, 2, FALSE), "")</f>
        <v>BIG DISTRIBUIDORA DE MATERIAIS DE CONSTRUCAO LTDA</v>
      </c>
    </row>
    <row r="36" spans="1:14" ht="11.85" customHeight="1" x14ac:dyDescent="0.2">
      <c r="A36" s="8">
        <v>46239</v>
      </c>
      <c r="B36" s="8"/>
      <c r="C36" s="7">
        <v>2044</v>
      </c>
      <c r="D36" s="4">
        <v>1540</v>
      </c>
      <c r="E36" s="2">
        <v>9678</v>
      </c>
      <c r="G36" s="9">
        <v>0</v>
      </c>
      <c r="H36" s="9"/>
      <c r="J36" s="10" t="s">
        <v>7</v>
      </c>
      <c r="K36" s="10"/>
      <c r="L36" s="10"/>
      <c r="M36" s="10"/>
      <c r="N36" t="str">
        <f>IFERROR(VLOOKUP(D36, Fornecedores!A:B, 2, FALSE), "")</f>
        <v>VOTORANTIM CIMENTOS NNE SA</v>
      </c>
    </row>
    <row r="37" spans="1:14" ht="11.85" customHeight="1" x14ac:dyDescent="0.2">
      <c r="A37" s="8">
        <v>46239</v>
      </c>
      <c r="B37" s="8"/>
      <c r="C37" s="7">
        <v>1020</v>
      </c>
      <c r="D37" s="4">
        <v>1573</v>
      </c>
      <c r="E37" s="2">
        <v>440.44</v>
      </c>
      <c r="G37" s="9">
        <v>0</v>
      </c>
      <c r="H37" s="9"/>
      <c r="J37" s="10" t="s">
        <v>7</v>
      </c>
      <c r="K37" s="10"/>
      <c r="L37" s="10"/>
      <c r="M37" s="10"/>
      <c r="N37" t="str">
        <f>IFERROR(VLOOKUP(D37, Fornecedores!A:B, 2, FALSE), "")</f>
        <v>FERROTEC DISTRIBUIDORA DE FERRO E ACO LTDA.</v>
      </c>
    </row>
    <row r="38" spans="1:14" ht="11.85" customHeight="1" x14ac:dyDescent="0.2">
      <c r="A38" s="8">
        <v>46239</v>
      </c>
      <c r="B38" s="8"/>
      <c r="C38" s="7">
        <v>1020</v>
      </c>
      <c r="D38" s="4">
        <v>1573</v>
      </c>
      <c r="E38" s="2">
        <v>208</v>
      </c>
      <c r="G38" s="9">
        <v>0</v>
      </c>
      <c r="H38" s="9"/>
      <c r="J38" s="10" t="s">
        <v>7</v>
      </c>
      <c r="K38" s="10"/>
      <c r="L38" s="10"/>
      <c r="M38" s="10"/>
      <c r="N38" t="str">
        <f>IFERROR(VLOOKUP(D38, Fornecedores!A:B, 2, FALSE), "")</f>
        <v>FERROTEC DISTRIBUIDORA DE FERRO E ACO LTDA.</v>
      </c>
    </row>
    <row r="39" spans="1:14" ht="11.85" customHeight="1" x14ac:dyDescent="0.2">
      <c r="A39" s="8">
        <v>46239</v>
      </c>
      <c r="B39" s="8"/>
      <c r="C39" s="7">
        <v>1020</v>
      </c>
      <c r="D39" s="4">
        <v>1573</v>
      </c>
      <c r="E39" s="2">
        <v>600</v>
      </c>
      <c r="G39" s="9">
        <v>0</v>
      </c>
      <c r="H39" s="9"/>
      <c r="J39" s="10" t="s">
        <v>7</v>
      </c>
      <c r="K39" s="10"/>
      <c r="L39" s="10"/>
      <c r="M39" s="10"/>
      <c r="N39" t="str">
        <f>IFERROR(VLOOKUP(D39, Fornecedores!A:B, 2, FALSE), "")</f>
        <v>FERROTEC DISTRIBUIDORA DE FERRO E ACO LTDA.</v>
      </c>
    </row>
    <row r="40" spans="1:14" ht="11.85" customHeight="1" x14ac:dyDescent="0.2">
      <c r="A40" s="8">
        <v>46239</v>
      </c>
      <c r="B40" s="8"/>
      <c r="C40" s="7">
        <v>912</v>
      </c>
      <c r="D40" s="4">
        <v>1573</v>
      </c>
      <c r="E40" s="2">
        <v>3950</v>
      </c>
      <c r="G40" s="9">
        <v>0</v>
      </c>
      <c r="H40" s="9"/>
      <c r="J40" s="10" t="s">
        <v>7</v>
      </c>
      <c r="K40" s="10"/>
      <c r="L40" s="10"/>
      <c r="M40" s="10"/>
      <c r="N40" t="str">
        <f>IFERROR(VLOOKUP(D40, Fornecedores!A:B, 2, FALSE), "")</f>
        <v>FERROTEC DISTRIBUIDORA DE FERRO E ACO LTDA.</v>
      </c>
    </row>
    <row r="41" spans="1:14" ht="11.85" customHeight="1" x14ac:dyDescent="0.2">
      <c r="A41" s="8">
        <v>46239</v>
      </c>
      <c r="B41" s="8"/>
      <c r="C41" s="7">
        <v>1027</v>
      </c>
      <c r="D41" s="4">
        <v>1706</v>
      </c>
      <c r="E41" s="2">
        <v>1980.28</v>
      </c>
      <c r="G41" s="9">
        <v>0</v>
      </c>
      <c r="H41" s="9"/>
      <c r="J41" s="10" t="s">
        <v>7</v>
      </c>
      <c r="K41" s="10"/>
      <c r="L41" s="10"/>
      <c r="M41" s="10"/>
      <c r="N41" t="str">
        <f>IFERROR(VLOOKUP(D41, Fornecedores!A:B, 2, FALSE), "")</f>
        <v>Dexco S.A.</v>
      </c>
    </row>
    <row r="42" spans="1:14" ht="11.85" customHeight="1" x14ac:dyDescent="0.2">
      <c r="A42" s="8">
        <v>46239</v>
      </c>
      <c r="B42" s="8"/>
      <c r="C42" s="7">
        <v>919</v>
      </c>
      <c r="D42" s="4">
        <v>1742</v>
      </c>
      <c r="E42" s="2">
        <v>739.7</v>
      </c>
      <c r="G42" s="9">
        <v>0</v>
      </c>
      <c r="H42" s="9"/>
      <c r="J42" s="10" t="s">
        <v>7</v>
      </c>
      <c r="K42" s="10"/>
      <c r="L42" s="10"/>
      <c r="M42" s="10"/>
      <c r="N42" t="str">
        <f>IFERROR(VLOOKUP(D42, Fornecedores!A:B, 2, FALSE), "")</f>
        <v>HORUS S/A DISTRIBUIDORA DE SOLUCOES TECN</v>
      </c>
    </row>
    <row r="43" spans="1:14" ht="11.85" customHeight="1" x14ac:dyDescent="0.2">
      <c r="A43" s="8">
        <v>46239</v>
      </c>
      <c r="B43" s="8"/>
      <c r="C43" s="7">
        <v>272</v>
      </c>
      <c r="D43" s="4">
        <v>1743</v>
      </c>
      <c r="E43" s="2">
        <v>1002.06</v>
      </c>
      <c r="G43" s="9">
        <v>0</v>
      </c>
      <c r="H43" s="9"/>
      <c r="J43" s="10" t="s">
        <v>7</v>
      </c>
      <c r="K43" s="10"/>
      <c r="L43" s="10"/>
      <c r="M43" s="10"/>
      <c r="N43" t="str">
        <f>IFERROR(VLOOKUP(D43, Fornecedores!A:B, 2, FALSE), "")</f>
        <v>BARBOSA E ANJOS LTDA</v>
      </c>
    </row>
    <row r="44" spans="1:14" ht="11.85" customHeight="1" x14ac:dyDescent="0.2">
      <c r="A44" s="8">
        <v>46239</v>
      </c>
      <c r="B44" s="8"/>
      <c r="C44" s="7">
        <v>1025</v>
      </c>
      <c r="D44" s="4">
        <v>2170</v>
      </c>
      <c r="E44" s="2">
        <v>240</v>
      </c>
      <c r="G44" s="9">
        <v>0</v>
      </c>
      <c r="H44" s="9"/>
      <c r="J44" s="10" t="s">
        <v>7</v>
      </c>
      <c r="K44" s="10"/>
      <c r="L44" s="10"/>
      <c r="M44" s="10"/>
      <c r="N44" t="str">
        <f>IFERROR(VLOOKUP(D44, Fornecedores!A:B, 2, FALSE), "")</f>
        <v>53595751 IAN BRUNO DA CUNHA ARRUDA</v>
      </c>
    </row>
    <row r="45" spans="1:14" ht="11.85" customHeight="1" x14ac:dyDescent="0.2">
      <c r="A45" s="8">
        <v>46240</v>
      </c>
      <c r="B45" s="8"/>
      <c r="C45" s="7">
        <v>1021</v>
      </c>
      <c r="D45" s="4">
        <v>5</v>
      </c>
      <c r="E45" s="2">
        <v>26.91</v>
      </c>
      <c r="G45" s="9">
        <v>0</v>
      </c>
      <c r="H45" s="9"/>
      <c r="J45" s="10" t="s">
        <v>7</v>
      </c>
      <c r="K45" s="10"/>
      <c r="L45" s="10"/>
      <c r="M45" s="10"/>
      <c r="N45" t="str">
        <f>IFERROR(VLOOKUP(C45, Fornecedores!A:B, 2, FALSE), "")</f>
        <v/>
      </c>
    </row>
    <row r="46" spans="1:14" ht="11.85" customHeight="1" x14ac:dyDescent="0.2">
      <c r="A46" s="8">
        <v>46240</v>
      </c>
      <c r="B46" s="8"/>
      <c r="C46" s="7">
        <v>1021</v>
      </c>
      <c r="D46" s="4">
        <v>5</v>
      </c>
      <c r="E46" s="2">
        <v>18</v>
      </c>
      <c r="G46" s="9">
        <v>0</v>
      </c>
      <c r="H46" s="9"/>
      <c r="J46" s="10" t="s">
        <v>7</v>
      </c>
      <c r="K46" s="10"/>
      <c r="L46" s="10"/>
      <c r="M46" s="10"/>
      <c r="N46" t="str">
        <f>IFERROR(VLOOKUP(C46, Fornecedores!A:B, 2, FALSE), "")</f>
        <v/>
      </c>
    </row>
    <row r="47" spans="1:14" ht="11.85" customHeight="1" x14ac:dyDescent="0.2">
      <c r="A47" s="8">
        <v>46240</v>
      </c>
      <c r="B47" s="8"/>
      <c r="C47" s="7">
        <v>1021</v>
      </c>
      <c r="D47" s="4">
        <v>5</v>
      </c>
      <c r="E47" s="2">
        <v>20.95</v>
      </c>
      <c r="G47" s="9">
        <v>0</v>
      </c>
      <c r="H47" s="9"/>
      <c r="J47" s="10" t="s">
        <v>7</v>
      </c>
      <c r="K47" s="10"/>
      <c r="L47" s="10"/>
      <c r="M47" s="10"/>
      <c r="N47" t="str">
        <f>IFERROR(VLOOKUP(C47, Fornecedores!A:B, 2, FALSE), "")</f>
        <v/>
      </c>
    </row>
    <row r="48" spans="1:14" ht="11.85" customHeight="1" x14ac:dyDescent="0.2">
      <c r="A48" s="8">
        <v>46240</v>
      </c>
      <c r="B48" s="8"/>
      <c r="C48" s="7">
        <v>1021</v>
      </c>
      <c r="D48" s="4">
        <v>5</v>
      </c>
      <c r="E48" s="2">
        <v>3.99</v>
      </c>
      <c r="G48" s="9">
        <v>0</v>
      </c>
      <c r="H48" s="9"/>
      <c r="J48" s="10" t="s">
        <v>7</v>
      </c>
      <c r="K48" s="10"/>
      <c r="L48" s="10"/>
      <c r="M48" s="10"/>
      <c r="N48" t="str">
        <f>IFERROR(VLOOKUP(C48, Fornecedores!A:B, 2, FALSE), "")</f>
        <v/>
      </c>
    </row>
    <row r="49" spans="1:14" ht="11.85" customHeight="1" x14ac:dyDescent="0.2">
      <c r="A49" s="8">
        <v>46240</v>
      </c>
      <c r="B49" s="8"/>
      <c r="C49" s="7">
        <v>1021</v>
      </c>
      <c r="D49" s="4">
        <v>5</v>
      </c>
      <c r="E49" s="2">
        <v>4</v>
      </c>
      <c r="G49" s="9">
        <v>0</v>
      </c>
      <c r="H49" s="9"/>
      <c r="J49" s="10" t="s">
        <v>7</v>
      </c>
      <c r="K49" s="10"/>
      <c r="L49" s="10"/>
      <c r="M49" s="10"/>
      <c r="N49" t="str">
        <f>IFERROR(VLOOKUP(C49, Fornecedores!A:B, 2, FALSE), "")</f>
        <v/>
      </c>
    </row>
    <row r="50" spans="1:14" ht="11.85" customHeight="1" x14ac:dyDescent="0.2">
      <c r="A50" s="8">
        <v>46240</v>
      </c>
      <c r="B50" s="8"/>
      <c r="C50" s="7">
        <v>1021</v>
      </c>
      <c r="D50" s="4">
        <v>5</v>
      </c>
      <c r="E50" s="2">
        <v>118</v>
      </c>
      <c r="G50" s="9">
        <v>0</v>
      </c>
      <c r="H50" s="9"/>
      <c r="J50" s="10" t="s">
        <v>7</v>
      </c>
      <c r="K50" s="10"/>
      <c r="L50" s="10"/>
      <c r="M50" s="10"/>
      <c r="N50" t="str">
        <f>IFERROR(VLOOKUP(C50, Fornecedores!A:B, 2, FALSE), "")</f>
        <v/>
      </c>
    </row>
    <row r="51" spans="1:14" ht="11.85" customHeight="1" x14ac:dyDescent="0.2">
      <c r="A51" s="8">
        <v>46240</v>
      </c>
      <c r="B51" s="8"/>
      <c r="C51" s="7">
        <v>963</v>
      </c>
      <c r="D51" s="4">
        <v>5</v>
      </c>
      <c r="E51" s="2">
        <v>1221.0999999999999</v>
      </c>
      <c r="G51" s="9">
        <v>0</v>
      </c>
      <c r="H51" s="9"/>
      <c r="J51" s="10" t="s">
        <v>7</v>
      </c>
      <c r="K51" s="10"/>
      <c r="L51" s="10"/>
      <c r="M51" s="10"/>
      <c r="N51" t="str">
        <f>IFERROR(VLOOKUP(C51, Fornecedores!A:B, 2, FALSE), "")</f>
        <v/>
      </c>
    </row>
    <row r="52" spans="1:14" ht="11.85" customHeight="1" x14ac:dyDescent="0.2">
      <c r="A52" s="8">
        <v>46240</v>
      </c>
      <c r="B52" s="8"/>
      <c r="C52" s="7">
        <v>2050</v>
      </c>
      <c r="D52" s="4">
        <v>5</v>
      </c>
      <c r="E52" s="2">
        <v>125.31</v>
      </c>
      <c r="G52" s="9">
        <v>0</v>
      </c>
      <c r="H52" s="9"/>
      <c r="J52" s="10" t="s">
        <v>7</v>
      </c>
      <c r="K52" s="10"/>
      <c r="L52" s="10"/>
      <c r="M52" s="10"/>
      <c r="N52" t="str">
        <f>IFERROR(VLOOKUP(C52, Fornecedores!A:B, 2, FALSE), "")</f>
        <v/>
      </c>
    </row>
    <row r="53" spans="1:14" ht="11.85" customHeight="1" x14ac:dyDescent="0.2">
      <c r="A53" s="8">
        <v>46240</v>
      </c>
      <c r="B53" s="8"/>
      <c r="C53" s="7">
        <v>1021</v>
      </c>
      <c r="D53" s="4">
        <v>5</v>
      </c>
      <c r="E53" s="2">
        <v>20.88</v>
      </c>
      <c r="G53" s="9">
        <v>0</v>
      </c>
      <c r="H53" s="9"/>
      <c r="J53" s="10" t="s">
        <v>7</v>
      </c>
      <c r="K53" s="10"/>
      <c r="L53" s="10"/>
      <c r="M53" s="10"/>
      <c r="N53" t="str">
        <f>IFERROR(VLOOKUP(C53, Fornecedores!A:B, 2, FALSE), "")</f>
        <v/>
      </c>
    </row>
    <row r="54" spans="1:14" ht="11.85" customHeight="1" x14ac:dyDescent="0.2">
      <c r="A54" s="8">
        <v>46240</v>
      </c>
      <c r="B54" s="8"/>
      <c r="C54" s="7">
        <v>1021</v>
      </c>
      <c r="D54" s="4">
        <v>5</v>
      </c>
      <c r="E54" s="2">
        <v>1960</v>
      </c>
      <c r="G54" s="9">
        <v>0</v>
      </c>
      <c r="H54" s="9"/>
      <c r="J54" s="10" t="s">
        <v>7</v>
      </c>
      <c r="K54" s="10"/>
      <c r="L54" s="10"/>
      <c r="M54" s="10"/>
      <c r="N54" t="str">
        <f>IFERROR(VLOOKUP(C54, Fornecedores!A:B, 2, FALSE), "")</f>
        <v/>
      </c>
    </row>
    <row r="55" spans="1:14" ht="11.85" customHeight="1" x14ac:dyDescent="0.2">
      <c r="A55" s="8">
        <v>46240</v>
      </c>
      <c r="B55" s="8"/>
      <c r="D55" s="4">
        <v>5</v>
      </c>
      <c r="E55" s="2">
        <v>7087.5</v>
      </c>
      <c r="G55" s="9">
        <v>0</v>
      </c>
      <c r="H55" s="9"/>
      <c r="J55" s="10" t="s">
        <v>7</v>
      </c>
      <c r="K55" s="10"/>
      <c r="L55" s="10"/>
      <c r="M55" s="10"/>
      <c r="N55" t="str">
        <f>IFERROR(VLOOKUP(D55, Fornecedores!A:B, 2, FALSE), "")</f>
        <v/>
      </c>
    </row>
    <row r="56" spans="1:14" ht="11.85" customHeight="1" x14ac:dyDescent="0.2">
      <c r="A56" s="8">
        <v>46240</v>
      </c>
      <c r="B56" s="8"/>
      <c r="D56" s="4">
        <v>5</v>
      </c>
      <c r="E56" s="2">
        <v>772.5</v>
      </c>
      <c r="G56" s="9">
        <v>0</v>
      </c>
      <c r="H56" s="9"/>
      <c r="J56" s="10" t="s">
        <v>7</v>
      </c>
      <c r="K56" s="10"/>
      <c r="L56" s="10"/>
      <c r="M56" s="10"/>
      <c r="N56" t="str">
        <f>IFERROR(VLOOKUP(D56, Fornecedores!A:B, 2, FALSE), "")</f>
        <v/>
      </c>
    </row>
    <row r="57" spans="1:14" ht="11.85" customHeight="1" x14ac:dyDescent="0.2">
      <c r="A57" s="8">
        <v>46240</v>
      </c>
      <c r="B57" s="8"/>
      <c r="D57" s="4">
        <v>5</v>
      </c>
      <c r="E57" s="2">
        <v>1577.3</v>
      </c>
      <c r="G57" s="9">
        <v>0</v>
      </c>
      <c r="H57" s="9"/>
      <c r="J57" s="10" t="s">
        <v>7</v>
      </c>
      <c r="K57" s="10"/>
      <c r="L57" s="10"/>
      <c r="M57" s="10"/>
      <c r="N57" t="str">
        <f>IFERROR(VLOOKUP(D57, Fornecedores!A:B, 2, FALSE), "")</f>
        <v/>
      </c>
    </row>
    <row r="58" spans="1:14" ht="11.85" customHeight="1" x14ac:dyDescent="0.2">
      <c r="A58" s="8">
        <v>46240</v>
      </c>
      <c r="B58" s="8"/>
      <c r="D58" s="4">
        <v>5</v>
      </c>
      <c r="E58" s="2">
        <v>46</v>
      </c>
      <c r="G58" s="9">
        <v>0</v>
      </c>
      <c r="H58" s="9"/>
      <c r="J58" s="10" t="s">
        <v>7</v>
      </c>
      <c r="K58" s="10"/>
      <c r="L58" s="10"/>
      <c r="M58" s="10"/>
      <c r="N58" t="str">
        <f>IFERROR(VLOOKUP(D58, Fornecedores!A:B, 2, FALSE), "")</f>
        <v/>
      </c>
    </row>
    <row r="59" spans="1:14" ht="11.85" customHeight="1" x14ac:dyDescent="0.2">
      <c r="A59" s="8">
        <v>46240</v>
      </c>
      <c r="B59" s="8"/>
      <c r="D59" s="4">
        <v>5</v>
      </c>
      <c r="E59" s="2">
        <v>25000</v>
      </c>
      <c r="G59" s="9">
        <v>0</v>
      </c>
      <c r="H59" s="9"/>
      <c r="J59" s="10" t="s">
        <v>7</v>
      </c>
      <c r="K59" s="10"/>
      <c r="L59" s="10"/>
      <c r="M59" s="10"/>
      <c r="N59" t="str">
        <f>IFERROR(VLOOKUP(D59, Fornecedores!A:B, 2, FALSE), "")</f>
        <v/>
      </c>
    </row>
    <row r="60" spans="1:14" ht="11.85" customHeight="1" x14ac:dyDescent="0.2">
      <c r="A60" s="8">
        <v>46240</v>
      </c>
      <c r="B60" s="8"/>
      <c r="D60" s="4">
        <v>5</v>
      </c>
      <c r="E60" s="2">
        <v>125</v>
      </c>
      <c r="G60" s="9">
        <v>0</v>
      </c>
      <c r="H60" s="9"/>
      <c r="J60" s="10" t="s">
        <v>7</v>
      </c>
      <c r="K60" s="10"/>
      <c r="L60" s="10"/>
      <c r="M60" s="10"/>
      <c r="N60" t="str">
        <f>IFERROR(VLOOKUP(D60, Fornecedores!A:B, 2, FALSE), "")</f>
        <v/>
      </c>
    </row>
    <row r="61" spans="1:14" ht="11.85" customHeight="1" x14ac:dyDescent="0.2">
      <c r="A61" s="8">
        <v>46240</v>
      </c>
      <c r="B61" s="8"/>
      <c r="C61" s="4">
        <v>514</v>
      </c>
      <c r="D61" s="4">
        <v>514</v>
      </c>
      <c r="E61" s="2">
        <v>1200</v>
      </c>
      <c r="G61" s="9">
        <v>0</v>
      </c>
      <c r="H61" s="9"/>
      <c r="J61" s="10" t="s">
        <v>7</v>
      </c>
      <c r="K61" s="10"/>
      <c r="L61" s="10"/>
      <c r="M61" s="10"/>
      <c r="N61" t="str">
        <f>IFERROR(VLOOKUP(C61, Fornecedores!A:B, 2, FALSE), "")</f>
        <v>Nova Era Mineracao Ltda</v>
      </c>
    </row>
    <row r="62" spans="1:14" ht="11.85" customHeight="1" x14ac:dyDescent="0.2">
      <c r="A62" s="8">
        <v>46240</v>
      </c>
      <c r="B62" s="8"/>
      <c r="C62" s="4">
        <v>520</v>
      </c>
      <c r="D62" s="4">
        <v>520</v>
      </c>
      <c r="E62" s="2">
        <v>2598</v>
      </c>
      <c r="G62" s="9">
        <v>0</v>
      </c>
      <c r="H62" s="9"/>
      <c r="J62" s="10" t="s">
        <v>7</v>
      </c>
      <c r="K62" s="10"/>
      <c r="L62" s="10"/>
      <c r="M62" s="10"/>
      <c r="N62" t="str">
        <f>IFERROR(VLOOKUP(C62, Fornecedores!A:B, 2, FALSE), "")</f>
        <v>RENACOR COM. DE TINTAS LTDA (TAQUARALTO)</v>
      </c>
    </row>
    <row r="63" spans="1:14" ht="11.85" customHeight="1" x14ac:dyDescent="0.2">
      <c r="A63" s="8">
        <v>46240</v>
      </c>
      <c r="B63" s="8"/>
      <c r="C63" s="4">
        <v>526</v>
      </c>
      <c r="D63" s="4">
        <v>526</v>
      </c>
      <c r="E63" s="2">
        <v>90.27</v>
      </c>
      <c r="G63" s="9">
        <v>0</v>
      </c>
      <c r="H63" s="9"/>
      <c r="J63" s="10" t="s">
        <v>7</v>
      </c>
      <c r="K63" s="10"/>
      <c r="L63" s="10"/>
      <c r="M63" s="10"/>
      <c r="N63" t="str">
        <f>IFERROR(VLOOKUP(C63, Fornecedores!A:B, 2, FALSE), "")</f>
        <v>FERPAM COM. DE FERRAMENTAS PARAFUSOS E MAQUINAS LTDA</v>
      </c>
    </row>
    <row r="64" spans="1:14" ht="11.85" customHeight="1" x14ac:dyDescent="0.2">
      <c r="A64" s="8">
        <v>46240</v>
      </c>
      <c r="B64" s="8"/>
      <c r="C64" s="4">
        <v>526</v>
      </c>
      <c r="D64" s="4">
        <v>526</v>
      </c>
      <c r="E64" s="2">
        <v>75.08</v>
      </c>
      <c r="G64" s="9">
        <v>0</v>
      </c>
      <c r="H64" s="9"/>
      <c r="J64" s="10" t="s">
        <v>7</v>
      </c>
      <c r="K64" s="10"/>
      <c r="L64" s="10"/>
      <c r="M64" s="10"/>
      <c r="N64" t="str">
        <f>IFERROR(VLOOKUP(C64, Fornecedores!A:B, 2, FALSE), "")</f>
        <v>FERPAM COM. DE FERRAMENTAS PARAFUSOS E MAQUINAS LTDA</v>
      </c>
    </row>
    <row r="65" spans="1:14" ht="11.85" customHeight="1" x14ac:dyDescent="0.2">
      <c r="A65" s="8">
        <v>46240</v>
      </c>
      <c r="B65" s="8"/>
      <c r="C65" s="4">
        <v>528</v>
      </c>
      <c r="D65" s="4">
        <v>528</v>
      </c>
      <c r="E65" s="2">
        <v>270</v>
      </c>
      <c r="G65" s="9">
        <v>0</v>
      </c>
      <c r="H65" s="9"/>
      <c r="J65" s="10" t="s">
        <v>7</v>
      </c>
      <c r="K65" s="10"/>
      <c r="L65" s="10"/>
      <c r="M65" s="10"/>
      <c r="N65" t="str">
        <f>IFERROR(VLOOKUP(C65, Fornecedores!A:B, 2, FALSE), "")</f>
        <v>FERROTEC DISTRIBUIDORA DE FERRO E ACO LTDA.</v>
      </c>
    </row>
    <row r="66" spans="1:14" ht="11.85" customHeight="1" x14ac:dyDescent="0.2">
      <c r="A66" s="8">
        <v>46240</v>
      </c>
      <c r="B66" s="8"/>
      <c r="C66" s="4">
        <v>655</v>
      </c>
      <c r="D66" s="4">
        <v>655</v>
      </c>
      <c r="E66" s="2">
        <v>10316.99</v>
      </c>
      <c r="G66" s="9">
        <v>0</v>
      </c>
      <c r="H66" s="9"/>
      <c r="J66" s="10" t="s">
        <v>7</v>
      </c>
      <c r="K66" s="10"/>
      <c r="L66" s="10"/>
      <c r="M66" s="10"/>
      <c r="N66" t="str">
        <f>IFERROR(VLOOKUP(C66, Fornecedores!A:B, 2, FALSE), "")</f>
        <v>DIST. DE FERROS E ACO B-R LTDA</v>
      </c>
    </row>
    <row r="67" spans="1:14" ht="11.85" customHeight="1" x14ac:dyDescent="0.2">
      <c r="A67" s="8">
        <v>46240</v>
      </c>
      <c r="B67" s="8"/>
      <c r="C67" s="4">
        <v>1295</v>
      </c>
      <c r="D67" s="4">
        <v>1295</v>
      </c>
      <c r="E67" s="2">
        <v>2121.5</v>
      </c>
      <c r="G67" s="9">
        <v>0</v>
      </c>
      <c r="H67" s="9"/>
      <c r="J67" s="10" t="s">
        <v>7</v>
      </c>
      <c r="K67" s="10"/>
      <c r="L67" s="10"/>
      <c r="M67" s="10"/>
      <c r="N67" t="str">
        <f>IFERROR(VLOOKUP(C67, Fornecedores!A:B, 2, FALSE), "")</f>
        <v>DIVIPLACAS COMERCIO E SERVICOS DE DIVISORIAS LTDA</v>
      </c>
    </row>
    <row r="68" spans="1:14" ht="11.85" customHeight="1" x14ac:dyDescent="0.2">
      <c r="A68" s="8">
        <v>46240</v>
      </c>
      <c r="B68" s="8"/>
      <c r="C68" s="4">
        <v>1295</v>
      </c>
      <c r="D68" s="4">
        <v>1295</v>
      </c>
      <c r="E68" s="2">
        <v>133.19999999999999</v>
      </c>
      <c r="G68" s="9">
        <v>0</v>
      </c>
      <c r="H68" s="9"/>
      <c r="J68" s="10" t="s">
        <v>7</v>
      </c>
      <c r="K68" s="10"/>
      <c r="L68" s="10"/>
      <c r="M68" s="10"/>
      <c r="N68" t="str">
        <f>IFERROR(VLOOKUP(C68, Fornecedores!A:B, 2, FALSE), "")</f>
        <v>DIVIPLACAS COMERCIO E SERVICOS DE DIVISORIAS LTDA</v>
      </c>
    </row>
    <row r="69" spans="1:14" ht="11.85" customHeight="1" x14ac:dyDescent="0.2">
      <c r="A69" s="8">
        <v>46240</v>
      </c>
      <c r="B69" s="8"/>
      <c r="C69" s="4">
        <v>1376</v>
      </c>
      <c r="D69" s="4">
        <v>1376</v>
      </c>
      <c r="E69" s="2">
        <v>19920</v>
      </c>
      <c r="G69" s="9">
        <v>0</v>
      </c>
      <c r="H69" s="9"/>
      <c r="J69" s="10" t="s">
        <v>7</v>
      </c>
      <c r="K69" s="10"/>
      <c r="L69" s="10"/>
      <c r="M69" s="10"/>
      <c r="N69" t="str">
        <f>IFERROR(VLOOKUP(C69, Fornecedores!A:B, 2, FALSE), "")</f>
        <v>E R SOUSA FILHO LTDA</v>
      </c>
    </row>
    <row r="70" spans="1:14" ht="11.85" customHeight="1" x14ac:dyDescent="0.2">
      <c r="A70" s="8">
        <v>46240</v>
      </c>
      <c r="B70" s="8"/>
      <c r="C70" s="4">
        <v>1706</v>
      </c>
      <c r="D70" s="4">
        <v>1706</v>
      </c>
      <c r="E70" s="2">
        <v>22346.06</v>
      </c>
      <c r="G70" s="9">
        <v>0</v>
      </c>
      <c r="H70" s="9"/>
      <c r="J70" s="10" t="s">
        <v>7</v>
      </c>
      <c r="K70" s="10"/>
      <c r="L70" s="10"/>
      <c r="M70" s="10"/>
      <c r="N70" t="str">
        <f>IFERROR(VLOOKUP(C70, Fornecedores!A:B, 2, FALSE), "")</f>
        <v>Dexco S.A.</v>
      </c>
    </row>
    <row r="71" spans="1:14" ht="11.85" customHeight="1" x14ac:dyDescent="0.2">
      <c r="A71" s="8">
        <v>46240</v>
      </c>
      <c r="B71" s="8"/>
      <c r="C71" s="4">
        <v>1706</v>
      </c>
      <c r="D71" s="4">
        <v>1706</v>
      </c>
      <c r="E71" s="2">
        <v>4986.75</v>
      </c>
      <c r="G71" s="9">
        <v>0</v>
      </c>
      <c r="H71" s="9"/>
      <c r="J71" s="10" t="s">
        <v>7</v>
      </c>
      <c r="K71" s="10"/>
      <c r="L71" s="10"/>
      <c r="M71" s="10"/>
      <c r="N71" t="str">
        <f>IFERROR(VLOOKUP(C71, Fornecedores!A:B, 2, FALSE), "")</f>
        <v>Dexco S.A.</v>
      </c>
    </row>
    <row r="72" spans="1:14" ht="11.85" customHeight="1" x14ac:dyDescent="0.2">
      <c r="A72" s="8">
        <v>46240</v>
      </c>
      <c r="B72" s="8"/>
      <c r="C72" s="4">
        <v>2086</v>
      </c>
      <c r="D72" s="4">
        <v>2086</v>
      </c>
      <c r="E72" s="2">
        <v>1890</v>
      </c>
      <c r="G72" s="9">
        <v>0</v>
      </c>
      <c r="H72" s="9"/>
      <c r="J72" s="10" t="s">
        <v>7</v>
      </c>
      <c r="K72" s="10"/>
      <c r="L72" s="10"/>
      <c r="M72" s="10"/>
      <c r="N72" t="str">
        <f>IFERROR(VLOOKUP(C72, Fornecedores!A:B, 2, FALSE), "")</f>
        <v>PREMOLTINS CONSTRUCOES E PREMOLDADOS LTDA</v>
      </c>
    </row>
    <row r="73" spans="1:14" ht="11.85" customHeight="1" x14ac:dyDescent="0.2">
      <c r="A73" s="8">
        <v>46241</v>
      </c>
      <c r="B73" s="8"/>
      <c r="C73" s="7">
        <v>1021</v>
      </c>
      <c r="D73" s="4">
        <v>5</v>
      </c>
      <c r="E73" s="2">
        <v>251</v>
      </c>
      <c r="G73" s="9">
        <v>0</v>
      </c>
      <c r="H73" s="9"/>
      <c r="J73" s="10" t="s">
        <v>7</v>
      </c>
      <c r="K73" s="10"/>
      <c r="L73" s="10"/>
      <c r="M73" s="10"/>
      <c r="N73" t="str">
        <f>IFERROR(VLOOKUP(C73, Fornecedores!A:B, 2, FALSE), "")</f>
        <v/>
      </c>
    </row>
    <row r="74" spans="1:14" ht="11.85" customHeight="1" x14ac:dyDescent="0.2">
      <c r="A74" s="8">
        <v>46241</v>
      </c>
      <c r="B74" s="8"/>
      <c r="C74" s="7">
        <v>1021</v>
      </c>
      <c r="D74" s="4">
        <v>5</v>
      </c>
      <c r="E74" s="2">
        <v>71</v>
      </c>
      <c r="G74" s="9">
        <v>0</v>
      </c>
      <c r="H74" s="9"/>
      <c r="J74" s="10" t="s">
        <v>7</v>
      </c>
      <c r="K74" s="10"/>
      <c r="L74" s="10"/>
      <c r="M74" s="10"/>
      <c r="N74" t="str">
        <f>IFERROR(VLOOKUP(C74, Fornecedores!A:B, 2, FALSE), "")</f>
        <v/>
      </c>
    </row>
    <row r="75" spans="1:14" ht="11.85" customHeight="1" x14ac:dyDescent="0.2">
      <c r="A75" s="8">
        <v>46241</v>
      </c>
      <c r="B75" s="8"/>
      <c r="C75" s="7">
        <v>5</v>
      </c>
      <c r="D75" s="4">
        <v>5</v>
      </c>
      <c r="E75" s="2">
        <v>1209.68</v>
      </c>
      <c r="G75" s="9">
        <v>0</v>
      </c>
      <c r="H75" s="9"/>
      <c r="J75" s="10" t="s">
        <v>7</v>
      </c>
      <c r="K75" s="10"/>
      <c r="L75" s="10"/>
      <c r="M75" s="10"/>
      <c r="N75" t="str">
        <f>IFERROR(VLOOKUP(C75, Fornecedores!A:B, 2, FALSE), "")</f>
        <v/>
      </c>
    </row>
    <row r="76" spans="1:14" ht="11.85" customHeight="1" x14ac:dyDescent="0.2">
      <c r="A76" s="8">
        <v>46241</v>
      </c>
      <c r="B76" s="8"/>
      <c r="C76" s="7">
        <v>5</v>
      </c>
      <c r="D76" s="4">
        <v>5</v>
      </c>
      <c r="E76" s="2">
        <v>44.32</v>
      </c>
      <c r="G76" s="9">
        <v>0</v>
      </c>
      <c r="H76" s="9"/>
      <c r="J76" s="10" t="s">
        <v>7</v>
      </c>
      <c r="K76" s="10"/>
      <c r="L76" s="10"/>
      <c r="M76" s="10"/>
      <c r="N76" t="str">
        <f>IFERROR(VLOOKUP(C76, Fornecedores!A:B, 2, FALSE), "")</f>
        <v/>
      </c>
    </row>
    <row r="77" spans="1:14" ht="11.85" customHeight="1" x14ac:dyDescent="0.2">
      <c r="A77" s="8">
        <v>46241</v>
      </c>
      <c r="B77" s="8"/>
      <c r="C77" s="7">
        <v>1021</v>
      </c>
      <c r="D77" s="4">
        <v>5</v>
      </c>
      <c r="E77" s="2">
        <v>424.03</v>
      </c>
      <c r="G77" s="9">
        <v>0</v>
      </c>
      <c r="H77" s="9"/>
      <c r="J77" s="10" t="s">
        <v>7</v>
      </c>
      <c r="K77" s="10"/>
      <c r="L77" s="10"/>
      <c r="M77" s="10"/>
      <c r="N77" t="str">
        <f>IFERROR(VLOOKUP(C77, Fornecedores!A:B, 2, FALSE), "")</f>
        <v/>
      </c>
    </row>
    <row r="78" spans="1:14" ht="11.85" customHeight="1" x14ac:dyDescent="0.2">
      <c r="A78" s="8">
        <v>46241</v>
      </c>
      <c r="B78" s="8"/>
      <c r="C78" s="7">
        <v>1021</v>
      </c>
      <c r="D78" s="4">
        <v>5</v>
      </c>
      <c r="E78" s="2">
        <v>149</v>
      </c>
      <c r="G78" s="9">
        <v>0</v>
      </c>
      <c r="H78" s="9"/>
      <c r="J78" s="10" t="s">
        <v>7</v>
      </c>
      <c r="K78" s="10"/>
      <c r="L78" s="10"/>
      <c r="M78" s="10"/>
      <c r="N78" t="str">
        <f>IFERROR(VLOOKUP(C78, Fornecedores!A:B, 2, FALSE), "")</f>
        <v/>
      </c>
    </row>
    <row r="79" spans="1:14" ht="11.85" customHeight="1" x14ac:dyDescent="0.2">
      <c r="A79" s="8">
        <v>46241</v>
      </c>
      <c r="B79" s="8"/>
      <c r="C79" s="7">
        <v>1021</v>
      </c>
      <c r="D79" s="4">
        <v>5</v>
      </c>
      <c r="E79" s="2">
        <v>99</v>
      </c>
      <c r="G79" s="9">
        <v>0</v>
      </c>
      <c r="H79" s="9"/>
      <c r="J79" s="10" t="s">
        <v>7</v>
      </c>
      <c r="K79" s="10"/>
      <c r="L79" s="10"/>
      <c r="M79" s="10"/>
      <c r="N79" t="str">
        <f>IFERROR(VLOOKUP(C79, Fornecedores!A:B, 2, FALSE), "")</f>
        <v/>
      </c>
    </row>
    <row r="80" spans="1:14" ht="11.85" customHeight="1" x14ac:dyDescent="0.2">
      <c r="A80" s="8">
        <v>46241</v>
      </c>
      <c r="B80" s="8"/>
      <c r="C80" s="7">
        <v>2139</v>
      </c>
      <c r="D80" s="4">
        <v>5</v>
      </c>
      <c r="E80" s="2">
        <v>270</v>
      </c>
      <c r="G80" s="9">
        <v>0</v>
      </c>
      <c r="H80" s="9"/>
      <c r="J80" s="10" t="s">
        <v>7</v>
      </c>
      <c r="K80" s="10"/>
      <c r="L80" s="10"/>
      <c r="M80" s="10"/>
      <c r="N80" t="str">
        <f>IFERROR(VLOOKUP(C80, Fornecedores!A:B, 2, FALSE), "")</f>
        <v/>
      </c>
    </row>
    <row r="81" spans="1:14" ht="11.85" customHeight="1" x14ac:dyDescent="0.2">
      <c r="A81" s="8">
        <v>46241</v>
      </c>
      <c r="B81" s="8"/>
      <c r="C81" s="7">
        <v>1021</v>
      </c>
      <c r="D81" s="4">
        <v>5</v>
      </c>
      <c r="E81" s="2">
        <v>170</v>
      </c>
      <c r="G81" s="9">
        <v>0</v>
      </c>
      <c r="H81" s="9"/>
      <c r="J81" s="10" t="s">
        <v>7</v>
      </c>
      <c r="K81" s="10"/>
      <c r="L81" s="10"/>
      <c r="M81" s="10"/>
      <c r="N81" t="str">
        <f>IFERROR(VLOOKUP(C81, Fornecedores!A:B, 2, FALSE), "")</f>
        <v/>
      </c>
    </row>
    <row r="82" spans="1:14" ht="11.85" customHeight="1" x14ac:dyDescent="0.2">
      <c r="A82" s="8">
        <v>46241</v>
      </c>
      <c r="B82" s="8"/>
      <c r="C82" s="7">
        <v>1021</v>
      </c>
      <c r="D82" s="4">
        <v>5</v>
      </c>
      <c r="E82" s="2">
        <v>1057</v>
      </c>
      <c r="G82" s="9">
        <v>0</v>
      </c>
      <c r="H82" s="9"/>
      <c r="J82" s="10" t="s">
        <v>7</v>
      </c>
      <c r="K82" s="10"/>
      <c r="L82" s="10"/>
      <c r="M82" s="10"/>
      <c r="N82" t="str">
        <f>IFERROR(VLOOKUP(C82, Fornecedores!A:B, 2, FALSE), "")</f>
        <v/>
      </c>
    </row>
    <row r="83" spans="1:14" ht="11.85" customHeight="1" x14ac:dyDescent="0.2">
      <c r="A83" s="8">
        <v>46241</v>
      </c>
      <c r="B83" s="8"/>
      <c r="C83" s="7">
        <v>5</v>
      </c>
      <c r="D83" s="4">
        <v>5</v>
      </c>
      <c r="E83" s="2">
        <v>151.5</v>
      </c>
      <c r="G83" s="9">
        <v>0</v>
      </c>
      <c r="H83" s="9"/>
      <c r="J83" s="10" t="s">
        <v>7</v>
      </c>
      <c r="K83" s="10"/>
      <c r="L83" s="10"/>
      <c r="M83" s="10"/>
      <c r="N83" t="str">
        <f>IFERROR(VLOOKUP(C83, Fornecedores!A:B, 2, FALSE), "")</f>
        <v/>
      </c>
    </row>
    <row r="84" spans="1:14" ht="11.85" customHeight="1" x14ac:dyDescent="0.2">
      <c r="A84" s="8">
        <v>46241</v>
      </c>
      <c r="B84" s="8"/>
      <c r="C84" s="7">
        <v>5</v>
      </c>
      <c r="D84" s="4">
        <v>5</v>
      </c>
      <c r="E84" s="2">
        <v>43.5</v>
      </c>
      <c r="G84" s="9">
        <v>0</v>
      </c>
      <c r="H84" s="9"/>
      <c r="J84" s="10" t="s">
        <v>7</v>
      </c>
      <c r="K84" s="10"/>
      <c r="L84" s="10"/>
      <c r="M84" s="10"/>
      <c r="N84" t="str">
        <f>IFERROR(VLOOKUP(C84, Fornecedores!A:B, 2, FALSE), "")</f>
        <v/>
      </c>
    </row>
    <row r="85" spans="1:14" ht="11.85" customHeight="1" x14ac:dyDescent="0.2">
      <c r="A85" s="8">
        <v>46241</v>
      </c>
      <c r="B85" s="8"/>
      <c r="C85" s="7">
        <v>1021</v>
      </c>
      <c r="D85" s="4">
        <v>5</v>
      </c>
      <c r="E85" s="2">
        <v>810</v>
      </c>
      <c r="G85" s="9">
        <v>0</v>
      </c>
      <c r="H85" s="9"/>
      <c r="J85" s="10" t="s">
        <v>7</v>
      </c>
      <c r="K85" s="10"/>
      <c r="L85" s="10"/>
      <c r="M85" s="10"/>
      <c r="N85" t="str">
        <f>IFERROR(VLOOKUP(C85, Fornecedores!A:B, 2, FALSE), "")</f>
        <v/>
      </c>
    </row>
    <row r="86" spans="1:14" ht="11.85" customHeight="1" x14ac:dyDescent="0.2">
      <c r="A86" s="8">
        <v>46241</v>
      </c>
      <c r="B86" s="8"/>
      <c r="C86" s="7">
        <v>5</v>
      </c>
      <c r="D86" s="4">
        <v>5</v>
      </c>
      <c r="E86" s="2">
        <v>197.5</v>
      </c>
      <c r="G86" s="9">
        <v>0</v>
      </c>
      <c r="H86" s="9"/>
      <c r="J86" s="10" t="s">
        <v>7</v>
      </c>
      <c r="K86" s="10"/>
      <c r="L86" s="10"/>
      <c r="M86" s="10"/>
      <c r="N86" t="str">
        <f>IFERROR(VLOOKUP(C86, Fornecedores!A:B, 2, FALSE), "")</f>
        <v/>
      </c>
    </row>
    <row r="87" spans="1:14" ht="11.85" customHeight="1" x14ac:dyDescent="0.2">
      <c r="A87" s="8">
        <v>46241</v>
      </c>
      <c r="B87" s="8"/>
      <c r="C87" s="7">
        <v>5</v>
      </c>
      <c r="D87" s="4">
        <v>5</v>
      </c>
      <c r="E87" s="2">
        <v>36</v>
      </c>
      <c r="G87" s="9">
        <v>0</v>
      </c>
      <c r="H87" s="9"/>
      <c r="J87" s="10" t="s">
        <v>7</v>
      </c>
      <c r="K87" s="10"/>
      <c r="L87" s="10"/>
      <c r="M87" s="10"/>
      <c r="N87" t="str">
        <f>IFERROR(VLOOKUP(C87, Fornecedores!A:B, 2, FALSE), "")</f>
        <v/>
      </c>
    </row>
    <row r="88" spans="1:14" ht="11.85" customHeight="1" x14ac:dyDescent="0.2">
      <c r="A88" s="8">
        <v>46241</v>
      </c>
      <c r="B88" s="8"/>
      <c r="C88" s="7">
        <v>1021</v>
      </c>
      <c r="D88" s="4">
        <v>5</v>
      </c>
      <c r="E88" s="2">
        <v>79.8</v>
      </c>
      <c r="G88" s="9">
        <v>0</v>
      </c>
      <c r="H88" s="9"/>
      <c r="J88" s="10" t="s">
        <v>7</v>
      </c>
      <c r="K88" s="10"/>
      <c r="L88" s="10"/>
      <c r="M88" s="10"/>
      <c r="N88" t="str">
        <f>IFERROR(VLOOKUP(C88, Fornecedores!A:B, 2, FALSE), "")</f>
        <v/>
      </c>
    </row>
    <row r="89" spans="1:14" ht="11.85" customHeight="1" x14ac:dyDescent="0.2">
      <c r="A89" s="8">
        <v>46241</v>
      </c>
      <c r="B89" s="8"/>
      <c r="C89" s="7">
        <v>5</v>
      </c>
      <c r="D89" s="4">
        <v>5</v>
      </c>
      <c r="E89" s="2">
        <v>580</v>
      </c>
      <c r="G89" s="9">
        <v>0</v>
      </c>
      <c r="H89" s="9"/>
      <c r="J89" s="10" t="s">
        <v>7</v>
      </c>
      <c r="K89" s="10"/>
      <c r="L89" s="10"/>
      <c r="M89" s="10"/>
      <c r="N89" t="str">
        <f>IFERROR(VLOOKUP(C89, Fornecedores!A:B, 2, FALSE), "")</f>
        <v/>
      </c>
    </row>
    <row r="90" spans="1:14" ht="11.85" customHeight="1" x14ac:dyDescent="0.2">
      <c r="A90" s="8">
        <v>46241</v>
      </c>
      <c r="B90" s="8"/>
      <c r="C90" s="4">
        <v>514</v>
      </c>
      <c r="D90" s="4">
        <v>514</v>
      </c>
      <c r="E90" s="2">
        <v>600</v>
      </c>
      <c r="G90" s="9">
        <v>0</v>
      </c>
      <c r="H90" s="9"/>
      <c r="J90" s="10" t="s">
        <v>7</v>
      </c>
      <c r="K90" s="10"/>
      <c r="L90" s="10"/>
      <c r="M90" s="10"/>
      <c r="N90" t="str">
        <f>IFERROR(VLOOKUP(C90, Fornecedores!A:B, 2, FALSE), "")</f>
        <v>Nova Era Mineracao Ltda</v>
      </c>
    </row>
    <row r="91" spans="1:14" ht="11.85" customHeight="1" x14ac:dyDescent="0.2">
      <c r="A91" s="8">
        <v>46241</v>
      </c>
      <c r="B91" s="8"/>
      <c r="C91" s="4">
        <v>520</v>
      </c>
      <c r="D91" s="4">
        <v>520</v>
      </c>
      <c r="E91" s="2">
        <v>69.73</v>
      </c>
      <c r="G91" s="9">
        <v>0</v>
      </c>
      <c r="H91" s="9"/>
      <c r="J91" s="10" t="s">
        <v>7</v>
      </c>
      <c r="K91" s="10"/>
      <c r="L91" s="10"/>
      <c r="M91" s="10"/>
      <c r="N91" t="str">
        <f>IFERROR(VLOOKUP(C91, Fornecedores!A:B, 2, FALSE), "")</f>
        <v>RENACOR COM. DE TINTAS LTDA (TAQUARALTO)</v>
      </c>
    </row>
    <row r="92" spans="1:14" ht="11.85" customHeight="1" x14ac:dyDescent="0.2">
      <c r="A92" s="8">
        <v>46241</v>
      </c>
      <c r="B92" s="8"/>
      <c r="C92" s="4">
        <v>520</v>
      </c>
      <c r="D92" s="4">
        <v>520</v>
      </c>
      <c r="E92" s="2">
        <v>204</v>
      </c>
      <c r="G92" s="9">
        <v>0</v>
      </c>
      <c r="H92" s="9"/>
      <c r="J92" s="10" t="s">
        <v>7</v>
      </c>
      <c r="K92" s="10"/>
      <c r="L92" s="10"/>
      <c r="M92" s="10"/>
      <c r="N92" t="str">
        <f>IFERROR(VLOOKUP(C92, Fornecedores!A:B, 2, FALSE), "")</f>
        <v>RENACOR COM. DE TINTAS LTDA (TAQUARALTO)</v>
      </c>
    </row>
    <row r="93" spans="1:14" ht="11.85" customHeight="1" x14ac:dyDescent="0.2">
      <c r="A93" s="8">
        <v>46241</v>
      </c>
      <c r="B93" s="8"/>
      <c r="C93" s="4">
        <v>520</v>
      </c>
      <c r="D93" s="4">
        <v>520</v>
      </c>
      <c r="E93" s="2">
        <v>299.89999999999998</v>
      </c>
      <c r="G93" s="9">
        <v>0</v>
      </c>
      <c r="H93" s="9"/>
      <c r="J93" s="10" t="s">
        <v>7</v>
      </c>
      <c r="K93" s="10"/>
      <c r="L93" s="10"/>
      <c r="M93" s="10"/>
      <c r="N93" t="str">
        <f>IFERROR(VLOOKUP(C93, Fornecedores!A:B, 2, FALSE), "")</f>
        <v>RENACOR COM. DE TINTAS LTDA (TAQUARALTO)</v>
      </c>
    </row>
    <row r="94" spans="1:14" ht="11.85" customHeight="1" x14ac:dyDescent="0.2">
      <c r="A94" s="8">
        <v>46241</v>
      </c>
      <c r="B94" s="8"/>
      <c r="C94" s="4">
        <v>520</v>
      </c>
      <c r="D94" s="4">
        <v>520</v>
      </c>
      <c r="E94" s="2">
        <v>292.2</v>
      </c>
      <c r="G94" s="9">
        <v>0</v>
      </c>
      <c r="H94" s="9"/>
      <c r="J94" s="10" t="s">
        <v>7</v>
      </c>
      <c r="K94" s="10"/>
      <c r="L94" s="10"/>
      <c r="M94" s="10"/>
      <c r="N94" t="str">
        <f>IFERROR(VLOOKUP(C94, Fornecedores!A:B, 2, FALSE), "")</f>
        <v>RENACOR COM. DE TINTAS LTDA (TAQUARALTO)</v>
      </c>
    </row>
    <row r="95" spans="1:14" ht="11.85" customHeight="1" x14ac:dyDescent="0.2">
      <c r="A95" s="8">
        <v>46241</v>
      </c>
      <c r="B95" s="8"/>
      <c r="C95" s="4">
        <v>520</v>
      </c>
      <c r="D95" s="4">
        <v>520</v>
      </c>
      <c r="E95" s="2">
        <v>445</v>
      </c>
      <c r="G95" s="9">
        <v>0</v>
      </c>
      <c r="H95" s="9"/>
      <c r="J95" s="10" t="s">
        <v>7</v>
      </c>
      <c r="K95" s="10"/>
      <c r="L95" s="10"/>
      <c r="M95" s="10"/>
      <c r="N95" t="str">
        <f>IFERROR(VLOOKUP(C95, Fornecedores!A:B, 2, FALSE), "")</f>
        <v>RENACOR COM. DE TINTAS LTDA (TAQUARALTO)</v>
      </c>
    </row>
    <row r="96" spans="1:14" ht="11.85" customHeight="1" x14ac:dyDescent="0.2">
      <c r="A96" s="8">
        <v>46241</v>
      </c>
      <c r="B96" s="8"/>
      <c r="C96" s="4">
        <v>526</v>
      </c>
      <c r="D96" s="4">
        <v>526</v>
      </c>
      <c r="E96" s="2">
        <v>1108.3599999999999</v>
      </c>
      <c r="G96" s="9">
        <v>0</v>
      </c>
      <c r="H96" s="9"/>
      <c r="J96" s="10" t="s">
        <v>7</v>
      </c>
      <c r="K96" s="10"/>
      <c r="L96" s="10"/>
      <c r="M96" s="10"/>
      <c r="N96" t="str">
        <f>IFERROR(VLOOKUP(C96, Fornecedores!A:B, 2, FALSE), "")</f>
        <v>FERPAM COM. DE FERRAMENTAS PARAFUSOS E MAQUINAS LTDA</v>
      </c>
    </row>
    <row r="97" spans="1:14" ht="11.85" customHeight="1" x14ac:dyDescent="0.2">
      <c r="A97" s="8">
        <v>46241</v>
      </c>
      <c r="B97" s="8"/>
      <c r="C97" s="4">
        <v>526</v>
      </c>
      <c r="D97" s="4">
        <v>526</v>
      </c>
      <c r="E97" s="2">
        <v>118.6</v>
      </c>
      <c r="G97" s="9">
        <v>0</v>
      </c>
      <c r="H97" s="9"/>
      <c r="J97" s="10" t="s">
        <v>7</v>
      </c>
      <c r="K97" s="10"/>
      <c r="L97" s="10"/>
      <c r="M97" s="10"/>
      <c r="N97" t="str">
        <f>IFERROR(VLOOKUP(C97, Fornecedores!A:B, 2, FALSE), "")</f>
        <v>FERPAM COM. DE FERRAMENTAS PARAFUSOS E MAQUINAS LTDA</v>
      </c>
    </row>
    <row r="98" spans="1:14" ht="11.85" customHeight="1" x14ac:dyDescent="0.2">
      <c r="A98" s="8">
        <v>46241</v>
      </c>
      <c r="B98" s="8"/>
      <c r="C98" s="4">
        <v>526</v>
      </c>
      <c r="D98" s="4">
        <v>526</v>
      </c>
      <c r="E98" s="2">
        <v>1549.8</v>
      </c>
      <c r="G98" s="9">
        <v>0</v>
      </c>
      <c r="H98" s="9"/>
      <c r="J98" s="10" t="s">
        <v>7</v>
      </c>
      <c r="K98" s="10"/>
      <c r="L98" s="10"/>
      <c r="M98" s="10"/>
      <c r="N98" t="str">
        <f>IFERROR(VLOOKUP(C98, Fornecedores!A:B, 2, FALSE), "")</f>
        <v>FERPAM COM. DE FERRAMENTAS PARAFUSOS E MAQUINAS LTDA</v>
      </c>
    </row>
    <row r="99" spans="1:14" ht="11.85" customHeight="1" x14ac:dyDescent="0.2">
      <c r="A99" s="8">
        <v>46241</v>
      </c>
      <c r="B99" s="8"/>
      <c r="C99" s="4">
        <v>613</v>
      </c>
      <c r="D99" s="4">
        <v>613</v>
      </c>
      <c r="E99" s="2">
        <v>1500</v>
      </c>
      <c r="G99" s="9">
        <v>0</v>
      </c>
      <c r="H99" s="9"/>
      <c r="J99" s="10" t="s">
        <v>7</v>
      </c>
      <c r="K99" s="10"/>
      <c r="L99" s="10"/>
      <c r="M99" s="10"/>
      <c r="N99" t="str">
        <f>IFERROR(VLOOKUP(C99, Fornecedores!A:B, 2, FALSE), "")</f>
        <v>IRMAOS MEURER LTDA</v>
      </c>
    </row>
    <row r="100" spans="1:14" ht="11.85" customHeight="1" x14ac:dyDescent="0.2">
      <c r="A100" s="8">
        <v>46241</v>
      </c>
      <c r="B100" s="8"/>
      <c r="C100" s="4">
        <v>655</v>
      </c>
      <c r="D100" s="4">
        <v>655</v>
      </c>
      <c r="E100" s="2">
        <v>362.26</v>
      </c>
      <c r="G100" s="9">
        <v>0</v>
      </c>
      <c r="H100" s="9"/>
      <c r="J100" s="10" t="s">
        <v>7</v>
      </c>
      <c r="K100" s="10"/>
      <c r="L100" s="10"/>
      <c r="M100" s="10"/>
      <c r="N100" t="str">
        <f>IFERROR(VLOOKUP(C100, Fornecedores!A:B, 2, FALSE), "")</f>
        <v>DIST. DE FERROS E ACO B-R LTDA</v>
      </c>
    </row>
    <row r="101" spans="1:14" ht="11.85" customHeight="1" x14ac:dyDescent="0.2">
      <c r="A101" s="8">
        <v>46241</v>
      </c>
      <c r="B101" s="8"/>
      <c r="C101" s="4">
        <v>1307</v>
      </c>
      <c r="D101" s="4">
        <v>1307</v>
      </c>
      <c r="E101" s="2">
        <v>2880</v>
      </c>
      <c r="G101" s="9">
        <v>0</v>
      </c>
      <c r="H101" s="9"/>
      <c r="J101" s="10" t="s">
        <v>7</v>
      </c>
      <c r="K101" s="10"/>
      <c r="L101" s="10"/>
      <c r="M101" s="10"/>
      <c r="N101" t="str">
        <f>IFERROR(VLOOKUP(C101, Fornecedores!A:B, 2, FALSE), "")</f>
        <v>REVEST REVESTIMENTOS LTDA-ME</v>
      </c>
    </row>
    <row r="102" spans="1:14" ht="11.85" customHeight="1" x14ac:dyDescent="0.2">
      <c r="A102" s="8">
        <v>46241</v>
      </c>
      <c r="B102" s="8"/>
      <c r="C102" s="4">
        <v>1376</v>
      </c>
      <c r="D102" s="4">
        <v>1376</v>
      </c>
      <c r="E102" s="2">
        <v>1078</v>
      </c>
      <c r="G102" s="9">
        <v>0</v>
      </c>
      <c r="H102" s="9"/>
      <c r="J102" s="10" t="s">
        <v>7</v>
      </c>
      <c r="K102" s="10"/>
      <c r="L102" s="10"/>
      <c r="M102" s="10"/>
      <c r="N102" t="str">
        <f>IFERROR(VLOOKUP(C102, Fornecedores!A:B, 2, FALSE), "")</f>
        <v>E R SOUSA FILHO LTDA</v>
      </c>
    </row>
    <row r="103" spans="1:14" ht="11.85" customHeight="1" x14ac:dyDescent="0.2">
      <c r="A103" s="8">
        <v>46241</v>
      </c>
      <c r="B103" s="8"/>
      <c r="C103" s="4">
        <v>1393</v>
      </c>
      <c r="D103" s="4">
        <v>1393</v>
      </c>
      <c r="E103" s="2">
        <v>82.24</v>
      </c>
      <c r="G103" s="9">
        <v>0</v>
      </c>
      <c r="H103" s="9"/>
      <c r="J103" s="10" t="s">
        <v>7</v>
      </c>
      <c r="K103" s="10"/>
      <c r="L103" s="10"/>
      <c r="M103" s="10"/>
      <c r="N103" t="str">
        <f>IFERROR(VLOOKUP(C103, Fornecedores!A:B, 2, FALSE), "")</f>
        <v>FERPAM COMERCIO DE BORRACHAS LTDA</v>
      </c>
    </row>
    <row r="104" spans="1:14" ht="11.85" customHeight="1" x14ac:dyDescent="0.2">
      <c r="A104" s="8">
        <v>46241</v>
      </c>
      <c r="B104" s="8"/>
      <c r="C104" s="4">
        <v>1433</v>
      </c>
      <c r="D104" s="4">
        <v>1433</v>
      </c>
      <c r="E104" s="2">
        <v>88.6</v>
      </c>
      <c r="G104" s="9">
        <v>0</v>
      </c>
      <c r="H104" s="9"/>
      <c r="J104" s="10" t="s">
        <v>7</v>
      </c>
      <c r="K104" s="10"/>
      <c r="L104" s="10"/>
      <c r="M104" s="10"/>
      <c r="N104" t="str">
        <f>IFERROR(VLOOKUP(C104, Fornecedores!A:B, 2, FALSE), "")</f>
        <v>Construpiso Com. de materiais p/ constr. LTDA-EPP</v>
      </c>
    </row>
    <row r="105" spans="1:14" ht="11.85" customHeight="1" x14ac:dyDescent="0.2">
      <c r="A105" s="8">
        <v>46241</v>
      </c>
      <c r="B105" s="8"/>
      <c r="C105" s="4">
        <v>1433</v>
      </c>
      <c r="D105" s="4">
        <v>1433</v>
      </c>
      <c r="E105" s="2">
        <v>21824.23</v>
      </c>
      <c r="G105" s="9">
        <v>0</v>
      </c>
      <c r="H105" s="9"/>
      <c r="J105" s="10" t="s">
        <v>7</v>
      </c>
      <c r="K105" s="10"/>
      <c r="L105" s="10"/>
      <c r="M105" s="10"/>
      <c r="N105" t="str">
        <f>IFERROR(VLOOKUP(C105, Fornecedores!A:B, 2, FALSE), "")</f>
        <v>Construpiso Com. de materiais p/ constr. LTDA-EPP</v>
      </c>
    </row>
    <row r="106" spans="1:14" ht="11.85" customHeight="1" x14ac:dyDescent="0.2">
      <c r="A106" s="8">
        <v>46241</v>
      </c>
      <c r="B106" s="8"/>
      <c r="C106" s="4">
        <v>1540</v>
      </c>
      <c r="D106" s="4">
        <v>1540</v>
      </c>
      <c r="E106" s="2">
        <v>2064.4</v>
      </c>
      <c r="G106" s="9">
        <v>0</v>
      </c>
      <c r="H106" s="9"/>
      <c r="J106" s="10" t="s">
        <v>7</v>
      </c>
      <c r="K106" s="10"/>
      <c r="L106" s="10"/>
      <c r="M106" s="10"/>
      <c r="N106" t="str">
        <f>IFERROR(VLOOKUP(C106, Fornecedores!A:B, 2, FALSE), "")</f>
        <v>VOTORANTIM CIMENTOS NNE SA</v>
      </c>
    </row>
    <row r="107" spans="1:14" ht="11.85" customHeight="1" x14ac:dyDescent="0.2">
      <c r="A107" s="8">
        <v>46241</v>
      </c>
      <c r="B107" s="8"/>
      <c r="C107" s="4">
        <v>1540</v>
      </c>
      <c r="D107" s="4">
        <v>1540</v>
      </c>
      <c r="E107" s="2">
        <v>2064.4</v>
      </c>
      <c r="G107" s="9">
        <v>0</v>
      </c>
      <c r="H107" s="9"/>
      <c r="J107" s="10" t="s">
        <v>7</v>
      </c>
      <c r="K107" s="10"/>
      <c r="L107" s="10"/>
      <c r="M107" s="10"/>
      <c r="N107" t="str">
        <f>IFERROR(VLOOKUP(C107, Fornecedores!A:B, 2, FALSE), "")</f>
        <v>VOTORANTIM CIMENTOS NNE SA</v>
      </c>
    </row>
    <row r="108" spans="1:14" ht="11.85" customHeight="1" x14ac:dyDescent="0.2">
      <c r="A108" s="8">
        <v>46241</v>
      </c>
      <c r="B108" s="8"/>
      <c r="C108" s="4">
        <v>1573</v>
      </c>
      <c r="D108" s="4">
        <v>1573</v>
      </c>
      <c r="E108" s="2">
        <v>12070</v>
      </c>
      <c r="G108" s="9">
        <v>0</v>
      </c>
      <c r="H108" s="9"/>
      <c r="J108" s="10" t="s">
        <v>7</v>
      </c>
      <c r="K108" s="10"/>
      <c r="L108" s="10"/>
      <c r="M108" s="10"/>
      <c r="N108" t="str">
        <f>IFERROR(VLOOKUP(C108, Fornecedores!A:B, 2, FALSE), "")</f>
        <v>FERROTEC DISTRIBUIDORA DE FERRO E ACO LTDA.</v>
      </c>
    </row>
    <row r="109" spans="1:14" ht="11.85" customHeight="1" x14ac:dyDescent="0.2">
      <c r="A109" s="8">
        <v>46241</v>
      </c>
      <c r="B109" s="8"/>
      <c r="C109" s="4">
        <v>1573</v>
      </c>
      <c r="D109" s="4">
        <v>1573</v>
      </c>
      <c r="E109" s="2">
        <v>7550</v>
      </c>
      <c r="G109" s="9">
        <v>0</v>
      </c>
      <c r="H109" s="9"/>
      <c r="J109" s="10" t="s">
        <v>7</v>
      </c>
      <c r="K109" s="10"/>
      <c r="L109" s="10"/>
      <c r="M109" s="10"/>
      <c r="N109" t="str">
        <f>IFERROR(VLOOKUP(C109, Fornecedores!A:B, 2, FALSE), "")</f>
        <v>FERROTEC DISTRIBUIDORA DE FERRO E ACO LTDA.</v>
      </c>
    </row>
    <row r="110" spans="1:14" ht="11.85" customHeight="1" x14ac:dyDescent="0.2">
      <c r="A110" s="8">
        <v>46241</v>
      </c>
      <c r="B110" s="8"/>
      <c r="C110" s="4">
        <v>1573</v>
      </c>
      <c r="D110" s="4">
        <v>1573</v>
      </c>
      <c r="E110" s="2">
        <v>13319.56</v>
      </c>
      <c r="G110" s="9">
        <v>0</v>
      </c>
      <c r="H110" s="9"/>
      <c r="J110" s="10" t="s">
        <v>7</v>
      </c>
      <c r="K110" s="10"/>
      <c r="L110" s="10"/>
      <c r="M110" s="10"/>
      <c r="N110" t="str">
        <f>IFERROR(VLOOKUP(C110, Fornecedores!A:B, 2, FALSE), "")</f>
        <v>FERROTEC DISTRIBUIDORA DE FERRO E ACO LTDA.</v>
      </c>
    </row>
    <row r="111" spans="1:14" ht="11.85" customHeight="1" x14ac:dyDescent="0.2">
      <c r="A111" s="8">
        <v>46241</v>
      </c>
      <c r="B111" s="8"/>
      <c r="C111" s="4">
        <v>1737</v>
      </c>
      <c r="D111" s="4">
        <v>1737</v>
      </c>
      <c r="E111" s="2">
        <v>709.5</v>
      </c>
      <c r="G111" s="9">
        <v>0</v>
      </c>
      <c r="H111" s="9"/>
      <c r="J111" s="10" t="s">
        <v>7</v>
      </c>
      <c r="K111" s="10"/>
      <c r="L111" s="10"/>
      <c r="M111" s="10"/>
      <c r="N111" t="str">
        <f>IFERROR(VLOOKUP(C111, Fornecedores!A:B, 2, FALSE), "")</f>
        <v>F P ENGENHARIA LTDA- ME</v>
      </c>
    </row>
    <row r="112" spans="1:14" ht="11.85" customHeight="1" x14ac:dyDescent="0.2">
      <c r="A112" s="8">
        <v>46241</v>
      </c>
      <c r="B112" s="8"/>
      <c r="C112" s="4">
        <v>2237</v>
      </c>
      <c r="D112" s="4">
        <v>2237</v>
      </c>
      <c r="E112" s="2">
        <v>6847.31</v>
      </c>
      <c r="G112" s="9">
        <v>0</v>
      </c>
      <c r="H112" s="9"/>
      <c r="J112" s="10" t="s">
        <v>7</v>
      </c>
      <c r="K112" s="10"/>
      <c r="L112" s="10"/>
      <c r="M112" s="10"/>
      <c r="N112" t="str">
        <f>IFERROR(VLOOKUP(C112, Fornecedores!A:B, 2, FALSE), "")</f>
        <v>VIDRO PALMAS LTDA</v>
      </c>
    </row>
    <row r="113" spans="1:14" ht="11.85" customHeight="1" x14ac:dyDescent="0.2">
      <c r="A113" s="8">
        <v>46241</v>
      </c>
      <c r="B113" s="8"/>
      <c r="C113" s="4">
        <v>2286</v>
      </c>
      <c r="D113" s="4">
        <v>2286</v>
      </c>
      <c r="E113" s="2">
        <v>13799.96</v>
      </c>
      <c r="G113" s="9">
        <v>0</v>
      </c>
      <c r="H113" s="9"/>
      <c r="J113" s="10" t="s">
        <v>7</v>
      </c>
      <c r="K113" s="10"/>
      <c r="L113" s="10"/>
      <c r="M113" s="10"/>
      <c r="N113" t="str">
        <f>IFERROR(VLOOKUP(C113, Fornecedores!A:B, 2, FALSE), "")</f>
        <v>ALBERTO LIVIO CAMPOS VIANA - ME</v>
      </c>
    </row>
    <row r="114" spans="1:14" ht="11.85" customHeight="1" x14ac:dyDescent="0.2">
      <c r="A114" s="8">
        <v>46242</v>
      </c>
      <c r="B114" s="8"/>
      <c r="C114" s="7">
        <v>1021</v>
      </c>
      <c r="D114" s="4">
        <v>5</v>
      </c>
      <c r="E114" s="2">
        <v>44</v>
      </c>
      <c r="G114" s="9">
        <v>0</v>
      </c>
      <c r="H114" s="9"/>
      <c r="J114" s="10" t="s">
        <v>7</v>
      </c>
      <c r="K114" s="10"/>
      <c r="L114" s="10"/>
      <c r="M114" s="10"/>
      <c r="N114" t="str">
        <f>IFERROR(VLOOKUP(C114, Fornecedores!A:B, 2, FALSE), "")</f>
        <v/>
      </c>
    </row>
    <row r="115" spans="1:14" ht="11.85" customHeight="1" x14ac:dyDescent="0.2">
      <c r="A115" s="8">
        <v>46242</v>
      </c>
      <c r="B115" s="8"/>
      <c r="C115" s="7">
        <v>1021</v>
      </c>
      <c r="D115" s="4">
        <v>5</v>
      </c>
      <c r="E115" s="2">
        <v>12.66</v>
      </c>
      <c r="G115" s="9">
        <v>0</v>
      </c>
      <c r="H115" s="9"/>
      <c r="J115" s="10" t="s">
        <v>7</v>
      </c>
      <c r="K115" s="10"/>
      <c r="L115" s="10"/>
      <c r="M115" s="10"/>
      <c r="N115" t="str">
        <f>IFERROR(VLOOKUP(C115, Fornecedores!A:B, 2, FALSE), "")</f>
        <v/>
      </c>
    </row>
    <row r="116" spans="1:14" ht="11.85" customHeight="1" x14ac:dyDescent="0.2">
      <c r="A116" s="8">
        <v>46242</v>
      </c>
      <c r="B116" s="8"/>
      <c r="C116" s="7">
        <v>1021</v>
      </c>
      <c r="D116" s="4">
        <v>5</v>
      </c>
      <c r="E116" s="2">
        <v>9.34</v>
      </c>
      <c r="G116" s="9">
        <v>0</v>
      </c>
      <c r="H116" s="9"/>
      <c r="J116" s="10" t="s">
        <v>7</v>
      </c>
      <c r="K116" s="10"/>
      <c r="L116" s="10"/>
      <c r="M116" s="10"/>
      <c r="N116" t="str">
        <f>IFERROR(VLOOKUP(C116, Fornecedores!A:B, 2, FALSE), "")</f>
        <v/>
      </c>
    </row>
    <row r="117" spans="1:14" ht="11.85" customHeight="1" x14ac:dyDescent="0.2">
      <c r="A117" s="8">
        <v>46242</v>
      </c>
      <c r="B117" s="8"/>
      <c r="C117" s="7">
        <v>1021</v>
      </c>
      <c r="D117" s="4">
        <v>5</v>
      </c>
      <c r="E117" s="2">
        <v>336</v>
      </c>
      <c r="G117" s="9">
        <v>0</v>
      </c>
      <c r="H117" s="9"/>
      <c r="J117" s="10" t="s">
        <v>7</v>
      </c>
      <c r="K117" s="10"/>
      <c r="L117" s="10"/>
      <c r="M117" s="10"/>
      <c r="N117" t="str">
        <f>IFERROR(VLOOKUP(C117, Fornecedores!A:B, 2, FALSE), "")</f>
        <v/>
      </c>
    </row>
    <row r="118" spans="1:14" ht="11.85" customHeight="1" x14ac:dyDescent="0.2">
      <c r="A118" s="8">
        <v>46242</v>
      </c>
      <c r="B118" s="8"/>
      <c r="C118" s="7">
        <v>1021</v>
      </c>
      <c r="D118" s="4">
        <v>5</v>
      </c>
      <c r="E118" s="2">
        <v>69</v>
      </c>
      <c r="G118" s="9">
        <v>0</v>
      </c>
      <c r="H118" s="9"/>
      <c r="J118" s="10" t="s">
        <v>7</v>
      </c>
      <c r="K118" s="10"/>
      <c r="L118" s="10"/>
      <c r="M118" s="10"/>
      <c r="N118" t="str">
        <f>IFERROR(VLOOKUP(C118, Fornecedores!A:B, 2, FALSE), "")</f>
        <v/>
      </c>
    </row>
    <row r="119" spans="1:14" ht="11.85" customHeight="1" x14ac:dyDescent="0.2">
      <c r="A119" s="8">
        <v>46242</v>
      </c>
      <c r="B119" s="8"/>
      <c r="C119" s="7">
        <v>1021</v>
      </c>
      <c r="D119" s="4">
        <v>5</v>
      </c>
      <c r="E119" s="2">
        <v>18</v>
      </c>
      <c r="G119" s="9">
        <v>0</v>
      </c>
      <c r="H119" s="9"/>
      <c r="J119" s="10" t="s">
        <v>7</v>
      </c>
      <c r="K119" s="10"/>
      <c r="L119" s="10"/>
      <c r="M119" s="10"/>
      <c r="N119" t="str">
        <f>IFERROR(VLOOKUP(C119, Fornecedores!A:B, 2, FALSE), "")</f>
        <v/>
      </c>
    </row>
    <row r="120" spans="1:14" ht="11.85" customHeight="1" x14ac:dyDescent="0.2">
      <c r="A120" s="8">
        <v>46242</v>
      </c>
      <c r="B120" s="8"/>
      <c r="C120" s="7">
        <v>1021</v>
      </c>
      <c r="D120" s="4">
        <v>5</v>
      </c>
      <c r="E120" s="2">
        <v>63</v>
      </c>
      <c r="G120" s="9">
        <v>0</v>
      </c>
      <c r="H120" s="9"/>
      <c r="J120" s="10" t="s">
        <v>7</v>
      </c>
      <c r="K120" s="10"/>
      <c r="L120" s="10"/>
      <c r="M120" s="10"/>
      <c r="N120" t="str">
        <f>IFERROR(VLOOKUP(C120, Fornecedores!A:B, 2, FALSE), "")</f>
        <v/>
      </c>
    </row>
    <row r="121" spans="1:14" ht="11.85" customHeight="1" x14ac:dyDescent="0.2">
      <c r="A121" s="8">
        <v>46242</v>
      </c>
      <c r="B121" s="8"/>
      <c r="C121" s="7">
        <v>1021</v>
      </c>
      <c r="D121" s="4">
        <v>5</v>
      </c>
      <c r="E121" s="2">
        <v>125</v>
      </c>
      <c r="G121" s="9">
        <v>0</v>
      </c>
      <c r="H121" s="9"/>
      <c r="J121" s="10" t="s">
        <v>7</v>
      </c>
      <c r="K121" s="10"/>
      <c r="L121" s="10"/>
      <c r="M121" s="10"/>
      <c r="N121" t="str">
        <f>IFERROR(VLOOKUP(C121, Fornecedores!A:B, 2, FALSE), "")</f>
        <v/>
      </c>
    </row>
    <row r="122" spans="1:14" ht="11.85" customHeight="1" x14ac:dyDescent="0.2">
      <c r="A122" s="8">
        <v>46242</v>
      </c>
      <c r="B122" s="8"/>
      <c r="C122" s="7">
        <v>1021</v>
      </c>
      <c r="D122" s="4">
        <v>5</v>
      </c>
      <c r="E122" s="2">
        <v>40</v>
      </c>
      <c r="G122" s="9">
        <v>0</v>
      </c>
      <c r="H122" s="9"/>
      <c r="J122" s="10" t="s">
        <v>7</v>
      </c>
      <c r="K122" s="10"/>
      <c r="L122" s="10"/>
      <c r="M122" s="10"/>
      <c r="N122" t="str">
        <f>IFERROR(VLOOKUP(C122, Fornecedores!A:B, 2, FALSE), "")</f>
        <v/>
      </c>
    </row>
    <row r="123" spans="1:14" ht="11.85" customHeight="1" x14ac:dyDescent="0.2">
      <c r="A123" s="8">
        <v>46242</v>
      </c>
      <c r="B123" s="8"/>
      <c r="C123" s="7">
        <v>5</v>
      </c>
      <c r="D123" s="4">
        <v>5</v>
      </c>
      <c r="E123" s="2">
        <v>354.75</v>
      </c>
      <c r="G123" s="9">
        <v>0</v>
      </c>
      <c r="H123" s="9"/>
      <c r="J123" s="10" t="s">
        <v>7</v>
      </c>
      <c r="K123" s="10"/>
      <c r="L123" s="10"/>
      <c r="M123" s="10"/>
      <c r="N123" t="str">
        <f>IFERROR(VLOOKUP(C123, Fornecedores!A:B, 2, FALSE), "")</f>
        <v/>
      </c>
    </row>
    <row r="124" spans="1:14" ht="11.85" customHeight="1" x14ac:dyDescent="0.2">
      <c r="A124" s="8">
        <v>46242</v>
      </c>
      <c r="B124" s="8"/>
      <c r="C124" s="7">
        <v>5</v>
      </c>
      <c r="D124" s="4">
        <v>5</v>
      </c>
      <c r="E124" s="2">
        <v>17.28</v>
      </c>
      <c r="G124" s="9">
        <v>0</v>
      </c>
      <c r="H124" s="9"/>
      <c r="J124" s="10" t="s">
        <v>7</v>
      </c>
      <c r="K124" s="10"/>
      <c r="L124" s="10"/>
      <c r="M124" s="10"/>
      <c r="N124" t="str">
        <f>IFERROR(VLOOKUP(C124, Fornecedores!A:B, 2, FALSE), "")</f>
        <v/>
      </c>
    </row>
    <row r="125" spans="1:14" ht="11.85" customHeight="1" x14ac:dyDescent="0.2">
      <c r="A125" s="8">
        <v>46242</v>
      </c>
      <c r="B125" s="8"/>
      <c r="C125" s="4">
        <v>520</v>
      </c>
      <c r="D125" s="4">
        <v>520</v>
      </c>
      <c r="E125" s="2">
        <v>809.7</v>
      </c>
      <c r="G125" s="9">
        <v>0</v>
      </c>
      <c r="H125" s="9"/>
      <c r="J125" s="10" t="s">
        <v>7</v>
      </c>
      <c r="K125" s="10"/>
      <c r="L125" s="10"/>
      <c r="M125" s="10"/>
      <c r="N125" t="str">
        <f>IFERROR(VLOOKUP(C125, Fornecedores!A:B, 2, FALSE), "")</f>
        <v>RENACOR COM. DE TINTAS LTDA (TAQUARALTO)</v>
      </c>
    </row>
    <row r="126" spans="1:14" ht="11.85" customHeight="1" x14ac:dyDescent="0.2">
      <c r="A126" s="8">
        <v>46242</v>
      </c>
      <c r="B126" s="8"/>
      <c r="C126" s="4">
        <v>520</v>
      </c>
      <c r="D126" s="4">
        <v>520</v>
      </c>
      <c r="E126" s="2">
        <v>1355</v>
      </c>
      <c r="G126" s="9">
        <v>0</v>
      </c>
      <c r="H126" s="9"/>
      <c r="J126" s="10" t="s">
        <v>7</v>
      </c>
      <c r="K126" s="10"/>
      <c r="L126" s="10"/>
      <c r="M126" s="10"/>
      <c r="N126" t="str">
        <f>IFERROR(VLOOKUP(C126, Fornecedores!A:B, 2, FALSE), "")</f>
        <v>RENACOR COM. DE TINTAS LTDA (TAQUARALTO)</v>
      </c>
    </row>
    <row r="127" spans="1:14" ht="11.85" customHeight="1" x14ac:dyDescent="0.2">
      <c r="A127" s="8">
        <v>46242</v>
      </c>
      <c r="B127" s="8"/>
      <c r="C127" s="4">
        <v>526</v>
      </c>
      <c r="D127" s="4">
        <v>526</v>
      </c>
      <c r="E127" s="2">
        <v>217.39</v>
      </c>
      <c r="G127" s="9">
        <v>0</v>
      </c>
      <c r="H127" s="9"/>
      <c r="J127" s="10" t="s">
        <v>7</v>
      </c>
      <c r="K127" s="10"/>
      <c r="L127" s="10"/>
      <c r="M127" s="10"/>
      <c r="N127" t="str">
        <f>IFERROR(VLOOKUP(C127, Fornecedores!A:B, 2, FALSE), "")</f>
        <v>FERPAM COM. DE FERRAMENTAS PARAFUSOS E MAQUINAS LTDA</v>
      </c>
    </row>
    <row r="128" spans="1:14" ht="11.85" customHeight="1" x14ac:dyDescent="0.2">
      <c r="A128" s="8">
        <v>46242</v>
      </c>
      <c r="B128" s="8"/>
      <c r="C128" s="4">
        <v>526</v>
      </c>
      <c r="D128" s="4">
        <v>526</v>
      </c>
      <c r="E128" s="2">
        <v>96.3</v>
      </c>
      <c r="G128" s="9">
        <v>0</v>
      </c>
      <c r="H128" s="9"/>
      <c r="J128" s="10" t="s">
        <v>7</v>
      </c>
      <c r="K128" s="10"/>
      <c r="L128" s="10"/>
      <c r="M128" s="10"/>
      <c r="N128" t="str">
        <f>IFERROR(VLOOKUP(C128, Fornecedores!A:B, 2, FALSE), "")</f>
        <v>FERPAM COM. DE FERRAMENTAS PARAFUSOS E MAQUINAS LTDA</v>
      </c>
    </row>
    <row r="129" spans="1:14" ht="11.85" customHeight="1" x14ac:dyDescent="0.2">
      <c r="A129" s="8">
        <v>46242</v>
      </c>
      <c r="B129" s="8"/>
      <c r="C129" s="4">
        <v>526</v>
      </c>
      <c r="D129" s="4">
        <v>526</v>
      </c>
      <c r="E129" s="2">
        <v>84.1</v>
      </c>
      <c r="G129" s="9">
        <v>0</v>
      </c>
      <c r="H129" s="9"/>
      <c r="J129" s="10" t="s">
        <v>7</v>
      </c>
      <c r="K129" s="10"/>
      <c r="L129" s="10"/>
      <c r="M129" s="10"/>
      <c r="N129" t="str">
        <f>IFERROR(VLOOKUP(C129, Fornecedores!A:B, 2, FALSE), "")</f>
        <v>FERPAM COM. DE FERRAMENTAS PARAFUSOS E MAQUINAS LTDA</v>
      </c>
    </row>
    <row r="130" spans="1:14" ht="11.85" customHeight="1" x14ac:dyDescent="0.2">
      <c r="A130" s="8">
        <v>46242</v>
      </c>
      <c r="B130" s="8"/>
      <c r="C130" s="4">
        <v>1741</v>
      </c>
      <c r="D130" s="4">
        <v>1741</v>
      </c>
      <c r="E130" s="2">
        <v>921.4</v>
      </c>
      <c r="G130" s="9">
        <v>0</v>
      </c>
      <c r="H130" s="9"/>
      <c r="J130" s="10" t="s">
        <v>7</v>
      </c>
      <c r="K130" s="10"/>
      <c r="L130" s="10"/>
      <c r="M130" s="10"/>
      <c r="N130" t="str">
        <f>IFERROR(VLOOKUP(C130, Fornecedores!A:B, 2, FALSE), "")</f>
        <v>ON MADEIRAS LTDA</v>
      </c>
    </row>
    <row r="131" spans="1:14" ht="11.85" customHeight="1" x14ac:dyDescent="0.2">
      <c r="A131" s="8">
        <v>46244</v>
      </c>
      <c r="B131" s="8"/>
      <c r="C131" s="7">
        <v>5</v>
      </c>
      <c r="D131" s="4">
        <v>5</v>
      </c>
      <c r="E131" s="2">
        <v>374.96</v>
      </c>
      <c r="G131" s="9">
        <v>0</v>
      </c>
      <c r="H131" s="9"/>
      <c r="J131" s="10" t="s">
        <v>7</v>
      </c>
      <c r="K131" s="10"/>
      <c r="L131" s="10"/>
      <c r="M131" s="10"/>
      <c r="N131" t="str">
        <f>IFERROR(VLOOKUP(C131, Fornecedores!A:B, 2, FALSE), "")</f>
        <v/>
      </c>
    </row>
    <row r="132" spans="1:14" ht="11.85" customHeight="1" x14ac:dyDescent="0.2">
      <c r="A132" s="8">
        <v>46244</v>
      </c>
      <c r="B132" s="8"/>
      <c r="C132" s="7">
        <v>1021</v>
      </c>
      <c r="D132" s="4">
        <v>5</v>
      </c>
      <c r="E132" s="2">
        <v>142</v>
      </c>
      <c r="G132" s="9">
        <v>0</v>
      </c>
      <c r="H132" s="9"/>
      <c r="J132" s="10" t="s">
        <v>7</v>
      </c>
      <c r="K132" s="10"/>
      <c r="L132" s="10"/>
      <c r="M132" s="10"/>
      <c r="N132" t="str">
        <f>IFERROR(VLOOKUP(C132, Fornecedores!A:B, 2, FALSE), "")</f>
        <v/>
      </c>
    </row>
    <row r="133" spans="1:14" ht="11.85" customHeight="1" x14ac:dyDescent="0.2">
      <c r="A133" s="8">
        <v>46244</v>
      </c>
      <c r="B133" s="8"/>
      <c r="C133" s="7">
        <v>1021</v>
      </c>
      <c r="D133" s="4">
        <v>5</v>
      </c>
      <c r="E133" s="2">
        <v>166</v>
      </c>
      <c r="G133" s="9">
        <v>0</v>
      </c>
      <c r="H133" s="9"/>
      <c r="J133" s="10" t="s">
        <v>7</v>
      </c>
      <c r="K133" s="10"/>
      <c r="L133" s="10"/>
      <c r="M133" s="10"/>
      <c r="N133" t="str">
        <f>IFERROR(VLOOKUP(C133, Fornecedores!A:B, 2, FALSE), "")</f>
        <v/>
      </c>
    </row>
    <row r="134" spans="1:14" ht="11.85" customHeight="1" x14ac:dyDescent="0.2">
      <c r="A134" s="8">
        <v>46244</v>
      </c>
      <c r="B134" s="8"/>
      <c r="C134" s="7">
        <v>1021</v>
      </c>
      <c r="D134" s="4">
        <v>5</v>
      </c>
      <c r="E134" s="2">
        <v>450</v>
      </c>
      <c r="G134" s="9">
        <v>0</v>
      </c>
      <c r="H134" s="9"/>
      <c r="J134" s="10" t="s">
        <v>7</v>
      </c>
      <c r="K134" s="10"/>
      <c r="L134" s="10"/>
      <c r="M134" s="10"/>
      <c r="N134" t="str">
        <f>IFERROR(VLOOKUP(C134, Fornecedores!A:B, 2, FALSE), "")</f>
        <v/>
      </c>
    </row>
    <row r="135" spans="1:14" ht="11.85" customHeight="1" x14ac:dyDescent="0.2">
      <c r="A135" s="8">
        <v>46244</v>
      </c>
      <c r="B135" s="8"/>
      <c r="C135" s="7">
        <v>1021</v>
      </c>
      <c r="D135" s="4">
        <v>5</v>
      </c>
      <c r="E135" s="2">
        <v>236</v>
      </c>
      <c r="G135" s="9">
        <v>0</v>
      </c>
      <c r="H135" s="9"/>
      <c r="J135" s="10" t="s">
        <v>7</v>
      </c>
      <c r="K135" s="10"/>
      <c r="L135" s="10"/>
      <c r="M135" s="10"/>
      <c r="N135" t="str">
        <f>IFERROR(VLOOKUP(C135, Fornecedores!A:B, 2, FALSE), "")</f>
        <v/>
      </c>
    </row>
    <row r="136" spans="1:14" ht="11.85" customHeight="1" x14ac:dyDescent="0.2">
      <c r="A136" s="8">
        <v>46244</v>
      </c>
      <c r="B136" s="8"/>
      <c r="C136" s="7">
        <v>1021</v>
      </c>
      <c r="D136" s="4">
        <v>5</v>
      </c>
      <c r="E136" s="2">
        <v>175.1</v>
      </c>
      <c r="G136" s="9">
        <v>0</v>
      </c>
      <c r="H136" s="9"/>
      <c r="J136" s="10" t="s">
        <v>7</v>
      </c>
      <c r="K136" s="10"/>
      <c r="L136" s="10"/>
      <c r="M136" s="10"/>
      <c r="N136" t="str">
        <f>IFERROR(VLOOKUP(C136, Fornecedores!A:B, 2, FALSE), "")</f>
        <v/>
      </c>
    </row>
    <row r="137" spans="1:14" ht="11.85" customHeight="1" x14ac:dyDescent="0.2">
      <c r="A137" s="8">
        <v>46244</v>
      </c>
      <c r="B137" s="8"/>
      <c r="C137" s="7">
        <v>1021</v>
      </c>
      <c r="D137" s="4">
        <v>5</v>
      </c>
      <c r="E137" s="2">
        <v>13.9</v>
      </c>
      <c r="G137" s="9">
        <v>0</v>
      </c>
      <c r="H137" s="9"/>
      <c r="J137" s="10" t="s">
        <v>7</v>
      </c>
      <c r="K137" s="10"/>
      <c r="L137" s="10"/>
      <c r="M137" s="10"/>
      <c r="N137" t="str">
        <f>IFERROR(VLOOKUP(C137, Fornecedores!A:B, 2, FALSE), "")</f>
        <v/>
      </c>
    </row>
    <row r="138" spans="1:14" ht="11.85" customHeight="1" x14ac:dyDescent="0.2">
      <c r="A138" s="8">
        <v>46244</v>
      </c>
      <c r="B138" s="8"/>
      <c r="C138" s="7">
        <v>1021</v>
      </c>
      <c r="D138" s="4">
        <v>5</v>
      </c>
      <c r="E138" s="2">
        <v>400.81</v>
      </c>
      <c r="G138" s="9">
        <v>0</v>
      </c>
      <c r="H138" s="9"/>
      <c r="J138" s="10" t="s">
        <v>7</v>
      </c>
      <c r="K138" s="10"/>
      <c r="L138" s="10"/>
      <c r="M138" s="10"/>
      <c r="N138" t="str">
        <f>IFERROR(VLOOKUP(C138, Fornecedores!A:B, 2, FALSE), "")</f>
        <v/>
      </c>
    </row>
    <row r="139" spans="1:14" ht="11.85" customHeight="1" x14ac:dyDescent="0.2">
      <c r="A139" s="8">
        <v>46244</v>
      </c>
      <c r="B139" s="8"/>
      <c r="C139" s="7">
        <v>5</v>
      </c>
      <c r="D139" s="4">
        <v>5</v>
      </c>
      <c r="E139" s="2">
        <v>1833.99</v>
      </c>
      <c r="G139" s="9">
        <v>0</v>
      </c>
      <c r="H139" s="9"/>
      <c r="J139" s="10" t="s">
        <v>7</v>
      </c>
      <c r="K139" s="10"/>
      <c r="L139" s="10"/>
      <c r="M139" s="10"/>
      <c r="N139" t="str">
        <f>IFERROR(VLOOKUP(C139, Fornecedores!A:B, 2, FALSE), "")</f>
        <v/>
      </c>
    </row>
    <row r="140" spans="1:14" ht="11.85" customHeight="1" x14ac:dyDescent="0.2">
      <c r="A140" s="8">
        <v>46244</v>
      </c>
      <c r="B140" s="8"/>
      <c r="C140" s="7">
        <v>5</v>
      </c>
      <c r="D140" s="4">
        <v>5</v>
      </c>
      <c r="E140" s="2">
        <v>772.5</v>
      </c>
      <c r="G140" s="9">
        <v>0</v>
      </c>
      <c r="H140" s="9"/>
      <c r="J140" s="10" t="s">
        <v>7</v>
      </c>
      <c r="K140" s="10"/>
      <c r="L140" s="10"/>
      <c r="M140" s="10"/>
      <c r="N140" t="str">
        <f>IFERROR(VLOOKUP(C140, Fornecedores!A:B, 2, FALSE), "")</f>
        <v/>
      </c>
    </row>
    <row r="141" spans="1:14" ht="11.85" customHeight="1" x14ac:dyDescent="0.2">
      <c r="A141" s="8">
        <v>46244</v>
      </c>
      <c r="B141" s="8"/>
      <c r="C141" s="7">
        <v>5</v>
      </c>
      <c r="D141" s="4">
        <v>5</v>
      </c>
      <c r="E141" s="2">
        <v>110</v>
      </c>
      <c r="G141" s="9">
        <v>0</v>
      </c>
      <c r="H141" s="9"/>
      <c r="J141" s="10" t="s">
        <v>7</v>
      </c>
      <c r="K141" s="10"/>
      <c r="L141" s="10"/>
      <c r="M141" s="10"/>
      <c r="N141" t="str">
        <f>IFERROR(VLOOKUP(C141, Fornecedores!A:B, 2, FALSE), "")</f>
        <v/>
      </c>
    </row>
    <row r="142" spans="1:14" ht="11.85" customHeight="1" x14ac:dyDescent="0.2">
      <c r="A142" s="8">
        <v>46244</v>
      </c>
      <c r="B142" s="8"/>
      <c r="C142" s="4">
        <v>519</v>
      </c>
      <c r="D142" s="4">
        <v>519</v>
      </c>
      <c r="E142" s="2">
        <v>1313.77</v>
      </c>
      <c r="G142" s="9">
        <v>0</v>
      </c>
      <c r="H142" s="9"/>
      <c r="J142" s="10" t="s">
        <v>7</v>
      </c>
      <c r="K142" s="10"/>
      <c r="L142" s="10"/>
      <c r="M142" s="10"/>
      <c r="N142" t="str">
        <f>IFERROR(VLOOKUP(C142, Fornecedores!A:B, 2, FALSE), "")</f>
        <v>ENCANEL COM. DE MAT. DE CONST. LTDA</v>
      </c>
    </row>
    <row r="143" spans="1:14" ht="11.85" customHeight="1" x14ac:dyDescent="0.2">
      <c r="A143" s="8">
        <v>46244</v>
      </c>
      <c r="B143" s="8"/>
      <c r="C143" s="4">
        <v>519</v>
      </c>
      <c r="D143" s="4">
        <v>519</v>
      </c>
      <c r="E143" s="2">
        <v>210</v>
      </c>
      <c r="G143" s="9">
        <v>0</v>
      </c>
      <c r="H143" s="9"/>
      <c r="J143" s="10" t="s">
        <v>7</v>
      </c>
      <c r="K143" s="10"/>
      <c r="L143" s="10"/>
      <c r="M143" s="10"/>
      <c r="N143" t="str">
        <f>IFERROR(VLOOKUP(C143, Fornecedores!A:B, 2, FALSE), "")</f>
        <v>ENCANEL COM. DE MAT. DE CONST. LTDA</v>
      </c>
    </row>
    <row r="144" spans="1:14" ht="11.85" customHeight="1" x14ac:dyDescent="0.2">
      <c r="A144" s="8">
        <v>46244</v>
      </c>
      <c r="B144" s="8"/>
      <c r="C144" s="4">
        <v>519</v>
      </c>
      <c r="D144" s="4">
        <v>519</v>
      </c>
      <c r="E144" s="2">
        <v>534.67999999999995</v>
      </c>
      <c r="G144" s="9">
        <v>0</v>
      </c>
      <c r="H144" s="9"/>
      <c r="J144" s="10" t="s">
        <v>7</v>
      </c>
      <c r="K144" s="10"/>
      <c r="L144" s="10"/>
      <c r="M144" s="10"/>
      <c r="N144" t="str">
        <f>IFERROR(VLOOKUP(C144, Fornecedores!A:B, 2, FALSE), "")</f>
        <v>ENCANEL COM. DE MAT. DE CONST. LTDA</v>
      </c>
    </row>
    <row r="145" spans="1:14" ht="11.85" customHeight="1" x14ac:dyDescent="0.2">
      <c r="A145" s="8">
        <v>46244</v>
      </c>
      <c r="B145" s="8"/>
      <c r="C145" s="4">
        <v>520</v>
      </c>
      <c r="D145" s="4">
        <v>520</v>
      </c>
      <c r="E145" s="2">
        <v>1014.5</v>
      </c>
      <c r="G145" s="9">
        <v>0</v>
      </c>
      <c r="H145" s="9"/>
      <c r="J145" s="10" t="s">
        <v>7</v>
      </c>
      <c r="K145" s="10"/>
      <c r="L145" s="10"/>
      <c r="M145" s="10"/>
      <c r="N145" t="str">
        <f>IFERROR(VLOOKUP(C145, Fornecedores!A:B, 2, FALSE), "")</f>
        <v>RENACOR COM. DE TINTAS LTDA (TAQUARALTO)</v>
      </c>
    </row>
    <row r="146" spans="1:14" ht="11.85" customHeight="1" x14ac:dyDescent="0.2">
      <c r="A146" s="8">
        <v>46244</v>
      </c>
      <c r="B146" s="8"/>
      <c r="C146" s="4">
        <v>526</v>
      </c>
      <c r="D146" s="4">
        <v>526</v>
      </c>
      <c r="E146" s="2">
        <v>241.48</v>
      </c>
      <c r="G146" s="9">
        <v>0</v>
      </c>
      <c r="H146" s="9"/>
      <c r="J146" s="10" t="s">
        <v>7</v>
      </c>
      <c r="K146" s="10"/>
      <c r="L146" s="10"/>
      <c r="M146" s="10"/>
      <c r="N146" t="str">
        <f>IFERROR(VLOOKUP(C146, Fornecedores!A:B, 2, FALSE), "")</f>
        <v>FERPAM COM. DE FERRAMENTAS PARAFUSOS E MAQUINAS LTDA</v>
      </c>
    </row>
    <row r="147" spans="1:14" ht="11.85" customHeight="1" x14ac:dyDescent="0.2">
      <c r="A147" s="8">
        <v>46244</v>
      </c>
      <c r="B147" s="8"/>
      <c r="C147" s="4">
        <v>526</v>
      </c>
      <c r="D147" s="4">
        <v>526</v>
      </c>
      <c r="E147" s="2">
        <v>227.97</v>
      </c>
      <c r="G147" s="9">
        <v>0</v>
      </c>
      <c r="H147" s="9"/>
      <c r="J147" s="10" t="s">
        <v>7</v>
      </c>
      <c r="K147" s="10"/>
      <c r="L147" s="10"/>
      <c r="M147" s="10"/>
      <c r="N147" t="str">
        <f>IFERROR(VLOOKUP(C147, Fornecedores!A:B, 2, FALSE), "")</f>
        <v>FERPAM COM. DE FERRAMENTAS PARAFUSOS E MAQUINAS LTDA</v>
      </c>
    </row>
    <row r="148" spans="1:14" ht="11.85" customHeight="1" x14ac:dyDescent="0.2">
      <c r="A148" s="8">
        <v>46244</v>
      </c>
      <c r="B148" s="8"/>
      <c r="C148" s="4">
        <v>526</v>
      </c>
      <c r="D148" s="4">
        <v>526</v>
      </c>
      <c r="E148" s="2">
        <v>146.49</v>
      </c>
      <c r="G148" s="9">
        <v>0</v>
      </c>
      <c r="H148" s="9"/>
      <c r="J148" s="10" t="s">
        <v>7</v>
      </c>
      <c r="K148" s="10"/>
      <c r="L148" s="10"/>
      <c r="M148" s="10"/>
      <c r="N148" t="str">
        <f>IFERROR(VLOOKUP(C148, Fornecedores!A:B, 2, FALSE), "")</f>
        <v>FERPAM COM. DE FERRAMENTAS PARAFUSOS E MAQUINAS LTDA</v>
      </c>
    </row>
    <row r="149" spans="1:14" ht="11.85" customHeight="1" x14ac:dyDescent="0.2">
      <c r="A149" s="8">
        <v>46244</v>
      </c>
      <c r="B149" s="8"/>
      <c r="C149" s="4">
        <v>526</v>
      </c>
      <c r="D149" s="4">
        <v>526</v>
      </c>
      <c r="E149" s="2">
        <v>679.39</v>
      </c>
      <c r="G149" s="9">
        <v>0</v>
      </c>
      <c r="H149" s="9"/>
      <c r="J149" s="10" t="s">
        <v>7</v>
      </c>
      <c r="K149" s="10"/>
      <c r="L149" s="10"/>
      <c r="M149" s="10"/>
      <c r="N149" t="str">
        <f>IFERROR(VLOOKUP(C149, Fornecedores!A:B, 2, FALSE), "")</f>
        <v>FERPAM COM. DE FERRAMENTAS PARAFUSOS E MAQUINAS LTDA</v>
      </c>
    </row>
    <row r="150" spans="1:14" ht="11.85" customHeight="1" x14ac:dyDescent="0.2">
      <c r="A150" s="8">
        <v>46244</v>
      </c>
      <c r="B150" s="8"/>
      <c r="C150" s="4">
        <v>526</v>
      </c>
      <c r="D150" s="4">
        <v>526</v>
      </c>
      <c r="E150" s="2">
        <v>149.4</v>
      </c>
      <c r="G150" s="9">
        <v>0</v>
      </c>
      <c r="H150" s="9"/>
      <c r="J150" s="10" t="s">
        <v>7</v>
      </c>
      <c r="K150" s="10"/>
      <c r="L150" s="10"/>
      <c r="M150" s="10"/>
      <c r="N150" t="str">
        <f>IFERROR(VLOOKUP(C150, Fornecedores!A:B, 2, FALSE), "")</f>
        <v>FERPAM COM. DE FERRAMENTAS PARAFUSOS E MAQUINAS LTDA</v>
      </c>
    </row>
    <row r="151" spans="1:14" ht="11.85" customHeight="1" x14ac:dyDescent="0.2">
      <c r="A151" s="8">
        <v>46244</v>
      </c>
      <c r="B151" s="8"/>
      <c r="C151" s="4">
        <v>526</v>
      </c>
      <c r="D151" s="4">
        <v>526</v>
      </c>
      <c r="E151" s="2">
        <v>53.03</v>
      </c>
      <c r="G151" s="9">
        <v>0</v>
      </c>
      <c r="H151" s="9"/>
      <c r="J151" s="10" t="s">
        <v>7</v>
      </c>
      <c r="K151" s="10"/>
      <c r="L151" s="10"/>
      <c r="M151" s="10"/>
      <c r="N151" t="str">
        <f>IFERROR(VLOOKUP(C151, Fornecedores!A:B, 2, FALSE), "")</f>
        <v>FERPAM COM. DE FERRAMENTAS PARAFUSOS E MAQUINAS LTDA</v>
      </c>
    </row>
    <row r="152" spans="1:14" ht="11.85" customHeight="1" x14ac:dyDescent="0.2">
      <c r="A152" s="8">
        <v>46244</v>
      </c>
      <c r="B152" s="8"/>
      <c r="C152" s="4" t="s">
        <v>759</v>
      </c>
      <c r="D152" s="4">
        <v>550</v>
      </c>
      <c r="E152" s="2">
        <v>2825</v>
      </c>
      <c r="G152" s="9">
        <v>0</v>
      </c>
      <c r="H152" s="9"/>
      <c r="J152" s="10" t="s">
        <v>7</v>
      </c>
      <c r="K152" s="10"/>
      <c r="L152" s="10"/>
      <c r="M152" s="10"/>
      <c r="N152" t="str">
        <f>IFERROR(VLOOKUP(C152, Fornecedores!A:B, 2, FALSE), "")</f>
        <v/>
      </c>
    </row>
    <row r="153" spans="1:14" ht="11.85" customHeight="1" x14ac:dyDescent="0.2">
      <c r="A153" s="8">
        <v>46244</v>
      </c>
      <c r="B153" s="8"/>
      <c r="C153" s="4">
        <v>655</v>
      </c>
      <c r="D153" s="4">
        <v>655</v>
      </c>
      <c r="E153" s="2">
        <v>10316.99</v>
      </c>
      <c r="G153" s="9">
        <v>0</v>
      </c>
      <c r="H153" s="9"/>
      <c r="J153" s="10" t="s">
        <v>7</v>
      </c>
      <c r="K153" s="10"/>
      <c r="L153" s="10"/>
      <c r="M153" s="10"/>
      <c r="N153" t="str">
        <f>IFERROR(VLOOKUP(C153, Fornecedores!A:B, 2, FALSE), "")</f>
        <v>DIST. DE FERROS E ACO B-R LTDA</v>
      </c>
    </row>
    <row r="154" spans="1:14" ht="11.85" customHeight="1" x14ac:dyDescent="0.2">
      <c r="A154" s="8">
        <v>46244</v>
      </c>
      <c r="B154" s="8"/>
      <c r="C154" s="4">
        <v>1305</v>
      </c>
      <c r="D154" s="4">
        <v>1305</v>
      </c>
      <c r="E154" s="2">
        <v>6985.5</v>
      </c>
      <c r="G154" s="9">
        <v>0</v>
      </c>
      <c r="H154" s="9"/>
      <c r="J154" s="10" t="s">
        <v>7</v>
      </c>
      <c r="K154" s="10"/>
      <c r="L154" s="10"/>
      <c r="M154" s="10"/>
      <c r="N154" t="str">
        <f>IFERROR(VLOOKUP(C154, Fornecedores!A:B, 2, FALSE), "")</f>
        <v>EXITO EXTINTORES LTDA</v>
      </c>
    </row>
    <row r="155" spans="1:14" ht="11.85" customHeight="1" x14ac:dyDescent="0.2">
      <c r="A155" s="8">
        <v>46244</v>
      </c>
      <c r="B155" s="8"/>
      <c r="C155" s="4">
        <v>1376</v>
      </c>
      <c r="D155" s="4">
        <v>1376</v>
      </c>
      <c r="E155" s="2">
        <v>1078</v>
      </c>
      <c r="G155" s="9">
        <v>0</v>
      </c>
      <c r="H155" s="9"/>
      <c r="J155" s="10" t="s">
        <v>7</v>
      </c>
      <c r="K155" s="10"/>
      <c r="L155" s="10"/>
      <c r="M155" s="10"/>
      <c r="N155" t="str">
        <f>IFERROR(VLOOKUP(C155, Fornecedores!A:B, 2, FALSE), "")</f>
        <v>E R SOUSA FILHO LTDA</v>
      </c>
    </row>
    <row r="156" spans="1:14" ht="11.85" customHeight="1" x14ac:dyDescent="0.2">
      <c r="A156" s="8">
        <v>46244</v>
      </c>
      <c r="B156" s="8"/>
      <c r="C156" s="4">
        <v>1393</v>
      </c>
      <c r="D156" s="4">
        <v>1393</v>
      </c>
      <c r="E156" s="2">
        <v>241.25</v>
      </c>
      <c r="G156" s="9">
        <v>0</v>
      </c>
      <c r="H156" s="9"/>
      <c r="J156" s="10" t="s">
        <v>7</v>
      </c>
      <c r="K156" s="10"/>
      <c r="L156" s="10"/>
      <c r="M156" s="10"/>
      <c r="N156" t="str">
        <f>IFERROR(VLOOKUP(C156, Fornecedores!A:B, 2, FALSE), "")</f>
        <v>FERPAM COMERCIO DE BORRACHAS LTDA</v>
      </c>
    </row>
    <row r="157" spans="1:14" ht="11.85" customHeight="1" x14ac:dyDescent="0.2">
      <c r="A157" s="8">
        <v>46244</v>
      </c>
      <c r="B157" s="8"/>
      <c r="C157" s="4">
        <v>1410</v>
      </c>
      <c r="D157" s="4">
        <v>1410</v>
      </c>
      <c r="E157" s="2">
        <v>271.33999999999997</v>
      </c>
      <c r="G157" s="9">
        <v>0</v>
      </c>
      <c r="H157" s="9"/>
      <c r="J157" s="10" t="s">
        <v>7</v>
      </c>
      <c r="K157" s="10"/>
      <c r="L157" s="10"/>
      <c r="M157" s="10"/>
      <c r="N157" t="str">
        <f>IFERROR(VLOOKUP(C157, Fornecedores!A:B, 2, FALSE), "")</f>
        <v>CASA DO FAXINEIRO LTDA.</v>
      </c>
    </row>
    <row r="158" spans="1:14" ht="11.85" customHeight="1" x14ac:dyDescent="0.2">
      <c r="A158" s="8">
        <v>46244</v>
      </c>
      <c r="B158" s="8"/>
      <c r="C158" s="4">
        <v>1433</v>
      </c>
      <c r="D158" s="4">
        <v>1433</v>
      </c>
      <c r="E158" s="2">
        <v>8327.89</v>
      </c>
      <c r="G158" s="9">
        <v>0</v>
      </c>
      <c r="H158" s="9"/>
      <c r="J158" s="10" t="s">
        <v>7</v>
      </c>
      <c r="K158" s="10"/>
      <c r="L158" s="10"/>
      <c r="M158" s="10"/>
      <c r="N158" t="str">
        <f>IFERROR(VLOOKUP(C158, Fornecedores!A:B, 2, FALSE), "")</f>
        <v>Construpiso Com. de materiais p/ constr. LTDA-EPP</v>
      </c>
    </row>
    <row r="159" spans="1:14" ht="11.85" customHeight="1" x14ac:dyDescent="0.2">
      <c r="A159" s="8">
        <v>46244</v>
      </c>
      <c r="B159" s="8"/>
      <c r="C159" s="4">
        <v>1563</v>
      </c>
      <c r="D159" s="4">
        <v>1563</v>
      </c>
      <c r="E159" s="2">
        <v>3069.91</v>
      </c>
      <c r="G159" s="9">
        <v>0</v>
      </c>
      <c r="H159" s="9"/>
      <c r="J159" s="10" t="s">
        <v>7</v>
      </c>
      <c r="K159" s="10"/>
      <c r="L159" s="10"/>
      <c r="M159" s="10"/>
      <c r="N159" t="str">
        <f>IFERROR(VLOOKUP(C159, Fornecedores!A:B, 2, FALSE), "")</f>
        <v>NERD FONE LTDA</v>
      </c>
    </row>
    <row r="160" spans="1:14" ht="11.85" customHeight="1" x14ac:dyDescent="0.2">
      <c r="A160" s="8">
        <v>46244</v>
      </c>
      <c r="B160" s="8"/>
      <c r="C160" s="4">
        <v>1573</v>
      </c>
      <c r="D160" s="4">
        <v>1573</v>
      </c>
      <c r="E160" s="2">
        <v>1135</v>
      </c>
      <c r="G160" s="9">
        <v>0</v>
      </c>
      <c r="H160" s="9"/>
      <c r="J160" s="10" t="s">
        <v>7</v>
      </c>
      <c r="K160" s="10"/>
      <c r="L160" s="10"/>
      <c r="M160" s="10"/>
      <c r="N160" t="str">
        <f>IFERROR(VLOOKUP(C160, Fornecedores!A:B, 2, FALSE), "")</f>
        <v>FERROTEC DISTRIBUIDORA DE FERRO E ACO LTDA.</v>
      </c>
    </row>
    <row r="161" spans="1:14" ht="11.85" customHeight="1" x14ac:dyDescent="0.2">
      <c r="A161" s="8">
        <v>46244</v>
      </c>
      <c r="B161" s="8"/>
      <c r="C161" s="4">
        <v>1573</v>
      </c>
      <c r="D161" s="4">
        <v>1573</v>
      </c>
      <c r="E161" s="2">
        <v>17244.54</v>
      </c>
      <c r="G161" s="9">
        <v>0</v>
      </c>
      <c r="H161" s="9"/>
      <c r="J161" s="10" t="s">
        <v>7</v>
      </c>
      <c r="K161" s="10"/>
      <c r="L161" s="10"/>
      <c r="M161" s="10"/>
      <c r="N161" t="str">
        <f>IFERROR(VLOOKUP(C161, Fornecedores!A:B, 2, FALSE), "")</f>
        <v>FERROTEC DISTRIBUIDORA DE FERRO E ACO LTDA.</v>
      </c>
    </row>
    <row r="162" spans="1:14" ht="11.85" customHeight="1" x14ac:dyDescent="0.2">
      <c r="A162" s="8">
        <v>46244</v>
      </c>
      <c r="B162" s="8"/>
      <c r="C162" s="4">
        <v>1573</v>
      </c>
      <c r="D162" s="4">
        <v>1573</v>
      </c>
      <c r="E162" s="2">
        <v>555.46</v>
      </c>
      <c r="G162" s="9">
        <v>0</v>
      </c>
      <c r="H162" s="9"/>
      <c r="J162" s="10" t="s">
        <v>7</v>
      </c>
      <c r="K162" s="10"/>
      <c r="L162" s="10"/>
      <c r="M162" s="10"/>
      <c r="N162" t="str">
        <f>IFERROR(VLOOKUP(C162, Fornecedores!A:B, 2, FALSE), "")</f>
        <v>FERROTEC DISTRIBUIDORA DE FERRO E ACO LTDA.</v>
      </c>
    </row>
    <row r="163" spans="1:14" ht="11.85" customHeight="1" x14ac:dyDescent="0.2">
      <c r="A163" s="8">
        <v>46244</v>
      </c>
      <c r="B163" s="8"/>
      <c r="C163" s="4">
        <v>1573</v>
      </c>
      <c r="D163" s="4">
        <v>1573</v>
      </c>
      <c r="E163" s="2">
        <v>1370</v>
      </c>
      <c r="G163" s="9">
        <v>0</v>
      </c>
      <c r="H163" s="9"/>
      <c r="J163" s="10" t="s">
        <v>7</v>
      </c>
      <c r="K163" s="10"/>
      <c r="L163" s="10"/>
      <c r="M163" s="10"/>
      <c r="N163" t="str">
        <f>IFERROR(VLOOKUP(C163, Fornecedores!A:B, 2, FALSE), "")</f>
        <v>FERROTEC DISTRIBUIDORA DE FERRO E ACO LTDA.</v>
      </c>
    </row>
    <row r="164" spans="1:14" ht="11.85" customHeight="1" x14ac:dyDescent="0.2">
      <c r="A164" s="8">
        <v>46244</v>
      </c>
      <c r="B164" s="8"/>
      <c r="C164" s="4">
        <v>1610</v>
      </c>
      <c r="D164" s="4">
        <v>1610</v>
      </c>
      <c r="E164" s="2">
        <v>2830</v>
      </c>
      <c r="G164" s="9">
        <v>0</v>
      </c>
      <c r="H164" s="9"/>
      <c r="J164" s="10" t="s">
        <v>7</v>
      </c>
      <c r="K164" s="10"/>
      <c r="L164" s="10"/>
      <c r="M164" s="10"/>
      <c r="N164" t="str">
        <f>IFERROR(VLOOKUP(C164, Fornecedores!A:B, 2, FALSE), "")</f>
        <v>SANTA ROSA DISTRIBUIDORA DE CIMENTOS LTDA - ME</v>
      </c>
    </row>
    <row r="165" spans="1:14" ht="11.85" customHeight="1" x14ac:dyDescent="0.2">
      <c r="A165" s="8">
        <v>46244</v>
      </c>
      <c r="B165" s="8"/>
      <c r="C165" s="4">
        <v>1617</v>
      </c>
      <c r="D165" s="4">
        <v>1617</v>
      </c>
      <c r="E165" s="2">
        <v>354.59</v>
      </c>
      <c r="G165" s="9">
        <v>0</v>
      </c>
      <c r="H165" s="9"/>
      <c r="J165" s="10" t="s">
        <v>7</v>
      </c>
      <c r="K165" s="10"/>
      <c r="L165" s="10"/>
      <c r="M165" s="10"/>
      <c r="N165" t="str">
        <f>IFERROR(VLOOKUP(C165, Fornecedores!A:B, 2, FALSE), "")</f>
        <v>FABIANO COM ATAC DE FERRAMENTAS E MAT DE CONS LTDA</v>
      </c>
    </row>
    <row r="166" spans="1:14" ht="11.85" customHeight="1" x14ac:dyDescent="0.2">
      <c r="A166" s="8">
        <v>46244</v>
      </c>
      <c r="B166" s="8"/>
      <c r="C166" s="4">
        <v>1629</v>
      </c>
      <c r="D166" s="4">
        <v>1629</v>
      </c>
      <c r="E166" s="2">
        <v>140</v>
      </c>
      <c r="G166" s="9">
        <v>0</v>
      </c>
      <c r="H166" s="9"/>
      <c r="J166" s="10" t="s">
        <v>7</v>
      </c>
      <c r="K166" s="10"/>
      <c r="L166" s="10"/>
      <c r="M166" s="10"/>
      <c r="N166" t="str">
        <f>IFERROR(VLOOKUP(C166, Fornecedores!A:B, 2, FALSE), "")</f>
        <v>MADEIREIRA SANTA ROSA LTDA</v>
      </c>
    </row>
    <row r="167" spans="1:14" ht="11.85" customHeight="1" x14ac:dyDescent="0.2">
      <c r="A167" s="8">
        <v>46244</v>
      </c>
      <c r="B167" s="8"/>
      <c r="C167" s="4">
        <v>1741</v>
      </c>
      <c r="D167" s="4">
        <v>1741</v>
      </c>
      <c r="E167" s="2">
        <v>4259.0200000000004</v>
      </c>
      <c r="G167" s="9">
        <v>0</v>
      </c>
      <c r="H167" s="9"/>
      <c r="J167" s="10" t="s">
        <v>7</v>
      </c>
      <c r="K167" s="10"/>
      <c r="L167" s="10"/>
      <c r="M167" s="10"/>
      <c r="N167" t="str">
        <f>IFERROR(VLOOKUP(C167, Fornecedores!A:B, 2, FALSE), "")</f>
        <v>ON MADEIRAS LTDA</v>
      </c>
    </row>
    <row r="168" spans="1:14" ht="11.85" customHeight="1" x14ac:dyDescent="0.2">
      <c r="A168" s="8">
        <v>46244</v>
      </c>
      <c r="B168" s="8"/>
      <c r="C168" s="4">
        <v>1743</v>
      </c>
      <c r="D168" s="4">
        <v>1743</v>
      </c>
      <c r="E168" s="2">
        <v>943.66</v>
      </c>
      <c r="G168" s="9">
        <v>0</v>
      </c>
      <c r="H168" s="9"/>
      <c r="J168" s="10" t="s">
        <v>7</v>
      </c>
      <c r="K168" s="10"/>
      <c r="L168" s="10"/>
      <c r="M168" s="10"/>
      <c r="N168" t="str">
        <f>IFERROR(VLOOKUP(C168, Fornecedores!A:B, 2, FALSE), "")</f>
        <v>BARBOSA E ANJOS LTDA</v>
      </c>
    </row>
    <row r="169" spans="1:14" ht="11.85" customHeight="1" x14ac:dyDescent="0.2">
      <c r="A169" s="8">
        <v>46244</v>
      </c>
      <c r="B169" s="8"/>
      <c r="C169" s="4">
        <v>1972</v>
      </c>
      <c r="D169" s="4">
        <v>1972</v>
      </c>
      <c r="E169" s="2">
        <v>2435</v>
      </c>
      <c r="G169" s="9">
        <v>0</v>
      </c>
      <c r="H169" s="9"/>
      <c r="J169" s="10" t="s">
        <v>7</v>
      </c>
      <c r="K169" s="10"/>
      <c r="L169" s="10"/>
      <c r="M169" s="10"/>
      <c r="N169" t="str">
        <f>IFERROR(VLOOKUP(C169, Fornecedores!A:B, 2, FALSE), "")</f>
        <v>AROS COMERCIO DE TINTAS LTDA</v>
      </c>
    </row>
    <row r="170" spans="1:14" ht="11.85" customHeight="1" x14ac:dyDescent="0.2">
      <c r="A170" s="8">
        <v>46244</v>
      </c>
      <c r="B170" s="8"/>
      <c r="C170" s="4">
        <v>1972</v>
      </c>
      <c r="D170" s="4">
        <v>1972</v>
      </c>
      <c r="E170" s="2">
        <v>1560</v>
      </c>
      <c r="G170" s="9">
        <v>0</v>
      </c>
      <c r="H170" s="9"/>
      <c r="J170" s="10" t="s">
        <v>7</v>
      </c>
      <c r="K170" s="10"/>
      <c r="L170" s="10"/>
      <c r="M170" s="10"/>
      <c r="N170" t="str">
        <f>IFERROR(VLOOKUP(C170, Fornecedores!A:B, 2, FALSE), "")</f>
        <v>AROS COMERCIO DE TINTAS LTDA</v>
      </c>
    </row>
    <row r="171" spans="1:14" ht="11.85" customHeight="1" x14ac:dyDescent="0.2">
      <c r="A171" s="8">
        <v>46244</v>
      </c>
      <c r="B171" s="8"/>
      <c r="C171" s="4">
        <v>2170</v>
      </c>
      <c r="D171" s="4">
        <v>2170</v>
      </c>
      <c r="E171" s="2">
        <v>1256</v>
      </c>
      <c r="G171" s="9">
        <v>0</v>
      </c>
      <c r="H171" s="9"/>
      <c r="J171" s="10" t="s">
        <v>7</v>
      </c>
      <c r="K171" s="10"/>
      <c r="L171" s="10"/>
      <c r="M171" s="10"/>
      <c r="N171" t="str">
        <f>IFERROR(VLOOKUP(C171, Fornecedores!A:B, 2, FALSE), "")</f>
        <v>53595751 IAN BRUNO DA CUNHA ARRUDA</v>
      </c>
    </row>
    <row r="172" spans="1:14" ht="11.85" customHeight="1" x14ac:dyDescent="0.2">
      <c r="A172" s="8">
        <v>46245</v>
      </c>
      <c r="B172" s="8"/>
      <c r="C172" s="7">
        <v>5</v>
      </c>
      <c r="D172" s="4">
        <v>5</v>
      </c>
      <c r="E172" s="2">
        <v>31.42</v>
      </c>
      <c r="G172" s="9">
        <v>0</v>
      </c>
      <c r="H172" s="9"/>
      <c r="J172" s="10" t="s">
        <v>7</v>
      </c>
      <c r="K172" s="10"/>
      <c r="L172" s="10"/>
      <c r="M172" s="10"/>
      <c r="N172" t="str">
        <f>IFERROR(VLOOKUP(C172, Fornecedores!A:B, 2, FALSE), "")</f>
        <v/>
      </c>
    </row>
    <row r="173" spans="1:14" ht="11.85" customHeight="1" x14ac:dyDescent="0.2">
      <c r="A173" s="8">
        <v>46245</v>
      </c>
      <c r="B173" s="8"/>
      <c r="C173" s="7">
        <v>1021</v>
      </c>
      <c r="D173" s="4">
        <v>5</v>
      </c>
      <c r="E173" s="2">
        <v>1323</v>
      </c>
      <c r="G173" s="9">
        <v>0</v>
      </c>
      <c r="H173" s="9"/>
      <c r="J173" s="10" t="s">
        <v>7</v>
      </c>
      <c r="K173" s="10"/>
      <c r="L173" s="10"/>
      <c r="M173" s="10"/>
      <c r="N173" t="str">
        <f>IFERROR(VLOOKUP(C173, Fornecedores!A:B, 2, FALSE), "")</f>
        <v/>
      </c>
    </row>
    <row r="174" spans="1:14" ht="11.85" customHeight="1" x14ac:dyDescent="0.2">
      <c r="A174" s="8">
        <v>46245</v>
      </c>
      <c r="B174" s="8"/>
      <c r="C174" s="7">
        <v>1021</v>
      </c>
      <c r="D174" s="4">
        <v>5</v>
      </c>
      <c r="E174" s="2">
        <v>321.92</v>
      </c>
      <c r="G174" s="9">
        <v>0</v>
      </c>
      <c r="H174" s="9"/>
      <c r="J174" s="10" t="s">
        <v>7</v>
      </c>
      <c r="K174" s="10"/>
      <c r="L174" s="10"/>
      <c r="M174" s="10"/>
      <c r="N174" t="str">
        <f>IFERROR(VLOOKUP(C174, Fornecedores!A:B, 2, FALSE), "")</f>
        <v/>
      </c>
    </row>
    <row r="175" spans="1:14" ht="11.85" customHeight="1" x14ac:dyDescent="0.2">
      <c r="A175" s="8">
        <v>46245</v>
      </c>
      <c r="B175" s="8"/>
      <c r="C175" s="7">
        <v>1021</v>
      </c>
      <c r="D175" s="4">
        <v>5</v>
      </c>
      <c r="E175" s="2">
        <v>528</v>
      </c>
      <c r="G175" s="9">
        <v>0</v>
      </c>
      <c r="H175" s="9"/>
      <c r="J175" s="10" t="s">
        <v>7</v>
      </c>
      <c r="K175" s="10"/>
      <c r="L175" s="10"/>
      <c r="M175" s="10"/>
      <c r="N175" t="str">
        <f>IFERROR(VLOOKUP(C175, Fornecedores!A:B, 2, FALSE), "")</f>
        <v/>
      </c>
    </row>
    <row r="176" spans="1:14" ht="11.85" customHeight="1" x14ac:dyDescent="0.2">
      <c r="A176" s="8">
        <v>46245</v>
      </c>
      <c r="B176" s="8"/>
      <c r="C176" s="7">
        <v>1021</v>
      </c>
      <c r="D176" s="4">
        <v>5</v>
      </c>
      <c r="E176" s="2">
        <v>41.31</v>
      </c>
      <c r="G176" s="9">
        <v>0</v>
      </c>
      <c r="H176" s="9"/>
      <c r="J176" s="10" t="s">
        <v>7</v>
      </c>
      <c r="K176" s="10"/>
      <c r="L176" s="10"/>
      <c r="M176" s="10"/>
      <c r="N176" t="str">
        <f>IFERROR(VLOOKUP(C176, Fornecedores!A:B, 2, FALSE), "")</f>
        <v/>
      </c>
    </row>
    <row r="177" spans="1:14" ht="11.85" customHeight="1" x14ac:dyDescent="0.2">
      <c r="A177" s="8">
        <v>46245</v>
      </c>
      <c r="B177" s="8"/>
      <c r="C177" s="7">
        <v>1021</v>
      </c>
      <c r="D177" s="4">
        <v>5</v>
      </c>
      <c r="E177" s="2">
        <v>1207.2</v>
      </c>
      <c r="G177" s="9">
        <v>0</v>
      </c>
      <c r="H177" s="9"/>
      <c r="J177" s="10" t="s">
        <v>7</v>
      </c>
      <c r="K177" s="10"/>
      <c r="L177" s="10"/>
      <c r="M177" s="10"/>
      <c r="N177" t="str">
        <f>IFERROR(VLOOKUP(C177, Fornecedores!A:B, 2, FALSE), "")</f>
        <v/>
      </c>
    </row>
    <row r="178" spans="1:14" ht="11.85" customHeight="1" x14ac:dyDescent="0.2">
      <c r="A178" s="8">
        <v>46245</v>
      </c>
      <c r="B178" s="8"/>
      <c r="C178" s="7">
        <v>1021</v>
      </c>
      <c r="D178" s="4">
        <v>5</v>
      </c>
      <c r="E178" s="2">
        <v>30</v>
      </c>
      <c r="G178" s="9">
        <v>0</v>
      </c>
      <c r="H178" s="9"/>
      <c r="J178" s="10" t="s">
        <v>7</v>
      </c>
      <c r="K178" s="10"/>
      <c r="L178" s="10"/>
      <c r="M178" s="10"/>
      <c r="N178" t="str">
        <f>IFERROR(VLOOKUP(C178, Fornecedores!A:B, 2, FALSE), "")</f>
        <v/>
      </c>
    </row>
    <row r="179" spans="1:14" ht="11.85" customHeight="1" x14ac:dyDescent="0.2">
      <c r="A179" s="8">
        <v>46245</v>
      </c>
      <c r="B179" s="8"/>
      <c r="C179" s="7">
        <v>1021</v>
      </c>
      <c r="D179" s="4">
        <v>5</v>
      </c>
      <c r="E179" s="2">
        <v>10</v>
      </c>
      <c r="G179" s="9">
        <v>0</v>
      </c>
      <c r="H179" s="9"/>
      <c r="J179" s="10" t="s">
        <v>7</v>
      </c>
      <c r="K179" s="10"/>
      <c r="L179" s="10"/>
      <c r="M179" s="10"/>
      <c r="N179" t="str">
        <f>IFERROR(VLOOKUP(C179, Fornecedores!A:B, 2, FALSE), "")</f>
        <v/>
      </c>
    </row>
    <row r="180" spans="1:14" ht="11.85" customHeight="1" x14ac:dyDescent="0.2">
      <c r="A180" s="8">
        <v>46245</v>
      </c>
      <c r="B180" s="8"/>
      <c r="C180" s="7">
        <v>1021</v>
      </c>
      <c r="D180" s="4">
        <v>5</v>
      </c>
      <c r="E180" s="2">
        <v>60</v>
      </c>
      <c r="G180" s="9">
        <v>0</v>
      </c>
      <c r="H180" s="9"/>
      <c r="J180" s="10" t="s">
        <v>7</v>
      </c>
      <c r="K180" s="10"/>
      <c r="L180" s="10"/>
      <c r="M180" s="10"/>
      <c r="N180" t="str">
        <f>IFERROR(VLOOKUP(C180, Fornecedores!A:B, 2, FALSE), "")</f>
        <v/>
      </c>
    </row>
    <row r="181" spans="1:14" ht="11.85" customHeight="1" x14ac:dyDescent="0.2">
      <c r="A181" s="8">
        <v>46245</v>
      </c>
      <c r="B181" s="8"/>
      <c r="C181" s="7">
        <v>1021</v>
      </c>
      <c r="D181" s="4">
        <v>5</v>
      </c>
      <c r="E181" s="2">
        <v>416</v>
      </c>
      <c r="G181" s="9">
        <v>0</v>
      </c>
      <c r="H181" s="9"/>
      <c r="J181" s="10" t="s">
        <v>7</v>
      </c>
      <c r="K181" s="10"/>
      <c r="L181" s="10"/>
      <c r="M181" s="10"/>
      <c r="N181" t="str">
        <f>IFERROR(VLOOKUP(C181, Fornecedores!A:B, 2, FALSE), "")</f>
        <v/>
      </c>
    </row>
    <row r="182" spans="1:14" ht="11.85" customHeight="1" x14ac:dyDescent="0.2">
      <c r="A182" s="8">
        <v>46245</v>
      </c>
      <c r="B182" s="8"/>
      <c r="C182" s="7">
        <v>913</v>
      </c>
      <c r="D182" s="4">
        <v>5</v>
      </c>
      <c r="E182" s="2">
        <v>283.75</v>
      </c>
      <c r="G182" s="9">
        <v>0</v>
      </c>
      <c r="H182" s="9"/>
      <c r="J182" s="10" t="s">
        <v>7</v>
      </c>
      <c r="K182" s="10"/>
      <c r="L182" s="10"/>
      <c r="M182" s="10"/>
      <c r="N182" t="str">
        <f>IFERROR(VLOOKUP(C182, Fornecedores!A:B, 2, FALSE), "")</f>
        <v/>
      </c>
    </row>
    <row r="183" spans="1:14" ht="11.85" customHeight="1" x14ac:dyDescent="0.2">
      <c r="A183" s="8">
        <v>46245</v>
      </c>
      <c r="B183" s="8"/>
      <c r="C183" s="7">
        <v>1021</v>
      </c>
      <c r="D183" s="4">
        <v>5</v>
      </c>
      <c r="E183" s="2">
        <v>267.24</v>
      </c>
      <c r="G183" s="9">
        <v>0</v>
      </c>
      <c r="H183" s="9"/>
      <c r="J183" s="10" t="s">
        <v>7</v>
      </c>
      <c r="K183" s="10"/>
      <c r="L183" s="10"/>
      <c r="M183" s="10"/>
      <c r="N183" t="str">
        <f>IFERROR(VLOOKUP(C183, Fornecedores!A:B, 2, FALSE), "")</f>
        <v/>
      </c>
    </row>
    <row r="184" spans="1:14" ht="11.85" customHeight="1" x14ac:dyDescent="0.2">
      <c r="A184" s="8">
        <v>46245</v>
      </c>
      <c r="B184" s="8"/>
      <c r="C184" s="7">
        <v>1021</v>
      </c>
      <c r="D184" s="4">
        <v>5</v>
      </c>
      <c r="E184" s="2">
        <v>14</v>
      </c>
      <c r="G184" s="9">
        <v>0</v>
      </c>
      <c r="H184" s="9"/>
      <c r="J184" s="10" t="s">
        <v>7</v>
      </c>
      <c r="K184" s="10"/>
      <c r="L184" s="10"/>
      <c r="M184" s="10"/>
      <c r="N184" t="str">
        <f>IFERROR(VLOOKUP(C184, Fornecedores!A:B, 2, FALSE), "")</f>
        <v/>
      </c>
    </row>
    <row r="185" spans="1:14" ht="11.85" customHeight="1" x14ac:dyDescent="0.2">
      <c r="A185" s="8">
        <v>46245</v>
      </c>
      <c r="B185" s="8"/>
      <c r="C185" s="7">
        <v>1021</v>
      </c>
      <c r="D185" s="4">
        <v>5</v>
      </c>
      <c r="E185" s="2">
        <v>127</v>
      </c>
      <c r="G185" s="9">
        <v>0</v>
      </c>
      <c r="H185" s="9"/>
      <c r="J185" s="10" t="s">
        <v>7</v>
      </c>
      <c r="K185" s="10"/>
      <c r="L185" s="10"/>
      <c r="M185" s="10"/>
      <c r="N185" t="str">
        <f>IFERROR(VLOOKUP(C185, Fornecedores!A:B, 2, FALSE), "")</f>
        <v/>
      </c>
    </row>
    <row r="186" spans="1:14" ht="11.85" customHeight="1" x14ac:dyDescent="0.2">
      <c r="A186" s="8">
        <v>46245</v>
      </c>
      <c r="B186" s="8"/>
      <c r="C186" s="7">
        <v>1021</v>
      </c>
      <c r="D186" s="4">
        <v>5</v>
      </c>
      <c r="E186" s="2">
        <v>2475</v>
      </c>
      <c r="G186" s="9">
        <v>0</v>
      </c>
      <c r="H186" s="9"/>
      <c r="J186" s="10" t="s">
        <v>7</v>
      </c>
      <c r="K186" s="10"/>
      <c r="L186" s="10"/>
      <c r="M186" s="10"/>
      <c r="N186" t="str">
        <f>IFERROR(VLOOKUP(C186, Fornecedores!A:B, 2, FALSE), "")</f>
        <v/>
      </c>
    </row>
    <row r="187" spans="1:14" ht="11.85" customHeight="1" x14ac:dyDescent="0.2">
      <c r="A187" s="8">
        <v>46245</v>
      </c>
      <c r="B187" s="8"/>
      <c r="C187" s="7">
        <v>1021</v>
      </c>
      <c r="D187" s="4">
        <v>5</v>
      </c>
      <c r="E187" s="2">
        <v>155</v>
      </c>
      <c r="G187" s="9">
        <v>0</v>
      </c>
      <c r="H187" s="9"/>
      <c r="J187" s="10" t="s">
        <v>7</v>
      </c>
      <c r="K187" s="10"/>
      <c r="L187" s="10"/>
      <c r="M187" s="10"/>
      <c r="N187" t="str">
        <f>IFERROR(VLOOKUP(C187, Fornecedores!A:B, 2, FALSE), "")</f>
        <v/>
      </c>
    </row>
    <row r="188" spans="1:14" ht="11.85" customHeight="1" x14ac:dyDescent="0.2">
      <c r="A188" s="8">
        <v>46245</v>
      </c>
      <c r="B188" s="8"/>
      <c r="C188" s="7">
        <v>913</v>
      </c>
      <c r="D188" s="4">
        <v>5</v>
      </c>
      <c r="E188" s="2">
        <v>1465.97</v>
      </c>
      <c r="G188" s="9">
        <v>0</v>
      </c>
      <c r="H188" s="9"/>
      <c r="J188" s="10" t="s">
        <v>7</v>
      </c>
      <c r="K188" s="10"/>
      <c r="L188" s="10"/>
      <c r="M188" s="10"/>
      <c r="N188" t="str">
        <f>IFERROR(VLOOKUP(C188, Fornecedores!A:B, 2, FALSE), "")</f>
        <v/>
      </c>
    </row>
    <row r="189" spans="1:14" ht="11.85" customHeight="1" x14ac:dyDescent="0.2">
      <c r="A189" s="8">
        <v>46245</v>
      </c>
      <c r="B189" s="8"/>
      <c r="C189" s="7">
        <v>1021</v>
      </c>
      <c r="D189" s="4">
        <v>5</v>
      </c>
      <c r="E189" s="2">
        <v>542</v>
      </c>
      <c r="G189" s="9">
        <v>0</v>
      </c>
      <c r="H189" s="9"/>
      <c r="J189" s="10" t="s">
        <v>7</v>
      </c>
      <c r="K189" s="10"/>
      <c r="L189" s="10"/>
      <c r="M189" s="10"/>
      <c r="N189" t="str">
        <f>IFERROR(VLOOKUP(C189, Fornecedores!A:B, 2, FALSE), "")</f>
        <v/>
      </c>
    </row>
    <row r="190" spans="1:14" ht="11.85" customHeight="1" x14ac:dyDescent="0.2">
      <c r="A190" s="8">
        <v>46245</v>
      </c>
      <c r="B190" s="8"/>
      <c r="C190" s="7">
        <v>5</v>
      </c>
      <c r="D190" s="4">
        <v>5</v>
      </c>
      <c r="E190" s="2">
        <v>40</v>
      </c>
      <c r="G190" s="9">
        <v>0</v>
      </c>
      <c r="H190" s="9"/>
      <c r="J190" s="10" t="s">
        <v>7</v>
      </c>
      <c r="K190" s="10"/>
      <c r="L190" s="10"/>
      <c r="M190" s="10"/>
      <c r="N190" t="str">
        <f>IFERROR(VLOOKUP(C190, Fornecedores!A:B, 2, FALSE), "")</f>
        <v/>
      </c>
    </row>
    <row r="191" spans="1:14" ht="11.85" customHeight="1" x14ac:dyDescent="0.2">
      <c r="A191" s="8">
        <v>46245</v>
      </c>
      <c r="B191" s="8"/>
      <c r="C191" s="7">
        <v>5</v>
      </c>
      <c r="D191" s="4">
        <v>5</v>
      </c>
      <c r="E191" s="2">
        <v>85.68</v>
      </c>
      <c r="G191" s="9">
        <v>0</v>
      </c>
      <c r="H191" s="9"/>
      <c r="J191" s="10" t="s">
        <v>7</v>
      </c>
      <c r="K191" s="10"/>
      <c r="L191" s="10"/>
      <c r="M191" s="10"/>
      <c r="N191" t="str">
        <f>IFERROR(VLOOKUP(C191, Fornecedores!A:B, 2, FALSE), "")</f>
        <v/>
      </c>
    </row>
    <row r="192" spans="1:14" ht="11.85" customHeight="1" x14ac:dyDescent="0.2">
      <c r="A192" s="8">
        <v>46245</v>
      </c>
      <c r="B192" s="8"/>
      <c r="C192" s="7">
        <v>1758</v>
      </c>
      <c r="D192" s="4">
        <v>519</v>
      </c>
      <c r="E192" s="2">
        <v>85.4</v>
      </c>
      <c r="G192" s="9">
        <v>0</v>
      </c>
      <c r="H192" s="9"/>
      <c r="J192" s="10" t="s">
        <v>7</v>
      </c>
      <c r="K192" s="10"/>
      <c r="L192" s="10"/>
      <c r="M192" s="10"/>
      <c r="N192" t="str">
        <f>IFERROR(VLOOKUP(D192, Fornecedores!A:B, 2, FALSE), "")</f>
        <v>ENCANEL COM. DE MAT. DE CONST. LTDA</v>
      </c>
    </row>
    <row r="193" spans="1:14" ht="11.85" customHeight="1" x14ac:dyDescent="0.2">
      <c r="A193" s="8">
        <v>46245</v>
      </c>
      <c r="B193" s="8"/>
      <c r="C193" s="7">
        <v>1760</v>
      </c>
      <c r="D193" s="4">
        <v>519</v>
      </c>
      <c r="E193" s="2">
        <v>505.3</v>
      </c>
      <c r="G193" s="9">
        <v>0</v>
      </c>
      <c r="H193" s="9"/>
      <c r="J193" s="10" t="s">
        <v>7</v>
      </c>
      <c r="K193" s="10"/>
      <c r="L193" s="10"/>
      <c r="M193" s="10"/>
      <c r="N193" t="str">
        <f>IFERROR(VLOOKUP(D193, Fornecedores!A:B, 2, FALSE), "")</f>
        <v>ENCANEL COM. DE MAT. DE CONST. LTDA</v>
      </c>
    </row>
    <row r="194" spans="1:14" ht="11.85" customHeight="1" x14ac:dyDescent="0.2">
      <c r="A194" s="8">
        <v>46245</v>
      </c>
      <c r="B194" s="8"/>
      <c r="C194" s="7">
        <v>2149</v>
      </c>
      <c r="D194" s="4">
        <v>520</v>
      </c>
      <c r="E194" s="2">
        <v>2138.65</v>
      </c>
      <c r="G194" s="9">
        <v>0</v>
      </c>
      <c r="H194" s="9"/>
      <c r="J194" s="10" t="s">
        <v>7</v>
      </c>
      <c r="K194" s="10"/>
      <c r="L194" s="10"/>
      <c r="M194" s="10"/>
      <c r="N194" t="str">
        <f>IFERROR(VLOOKUP(D194, Fornecedores!A:B, 2, FALSE), "")</f>
        <v>RENACOR COM. DE TINTAS LTDA (TAQUARALTO)</v>
      </c>
    </row>
    <row r="195" spans="1:14" ht="11.85" customHeight="1" x14ac:dyDescent="0.2">
      <c r="A195" s="8">
        <v>46245</v>
      </c>
      <c r="B195" s="8"/>
      <c r="C195" s="7">
        <v>919</v>
      </c>
      <c r="D195" s="4">
        <v>526</v>
      </c>
      <c r="E195" s="2">
        <v>1348.42</v>
      </c>
      <c r="G195" s="9">
        <v>0</v>
      </c>
      <c r="H195" s="9"/>
      <c r="J195" s="10" t="s">
        <v>7</v>
      </c>
      <c r="K195" s="10"/>
      <c r="L195" s="10"/>
      <c r="M195" s="10"/>
      <c r="N195" t="str">
        <f>IFERROR(VLOOKUP(D195, Fornecedores!A:B, 2, FALSE), "")</f>
        <v>FERPAM COM. DE FERRAMENTAS PARAFUSOS E MAQUINAS LTDA</v>
      </c>
    </row>
    <row r="196" spans="1:14" ht="11.85" customHeight="1" x14ac:dyDescent="0.2">
      <c r="A196" s="8">
        <v>46245</v>
      </c>
      <c r="B196" s="8"/>
      <c r="C196" s="7">
        <v>1024</v>
      </c>
      <c r="D196" s="4">
        <v>613</v>
      </c>
      <c r="E196" s="2">
        <v>149.5</v>
      </c>
      <c r="G196" s="9">
        <v>0</v>
      </c>
      <c r="H196" s="9"/>
      <c r="J196" s="10" t="s">
        <v>7</v>
      </c>
      <c r="K196" s="10"/>
      <c r="L196" s="10"/>
      <c r="M196" s="10"/>
      <c r="N196" t="str">
        <f>IFERROR(VLOOKUP(D196, Fornecedores!A:B, 2, FALSE), "")</f>
        <v>IRMAOS MEURER LTDA</v>
      </c>
    </row>
    <row r="197" spans="1:14" ht="11.85" customHeight="1" x14ac:dyDescent="0.2">
      <c r="A197" s="8">
        <v>46245</v>
      </c>
      <c r="B197" s="8"/>
      <c r="C197" s="7">
        <v>1024</v>
      </c>
      <c r="D197" s="4">
        <v>613</v>
      </c>
      <c r="E197" s="2">
        <v>1050</v>
      </c>
      <c r="G197" s="9">
        <v>0</v>
      </c>
      <c r="H197" s="9"/>
      <c r="J197" s="10" t="s">
        <v>7</v>
      </c>
      <c r="K197" s="10"/>
      <c r="L197" s="10"/>
      <c r="M197" s="10"/>
      <c r="N197" t="str">
        <f>IFERROR(VLOOKUP(D197, Fornecedores!A:B, 2, FALSE), "")</f>
        <v>IRMAOS MEURER LTDA</v>
      </c>
    </row>
    <row r="198" spans="1:14" ht="11.85" customHeight="1" x14ac:dyDescent="0.2">
      <c r="A198" s="8">
        <v>46245</v>
      </c>
      <c r="B198" s="8"/>
      <c r="C198" s="7">
        <v>1664</v>
      </c>
      <c r="D198" s="4">
        <v>655</v>
      </c>
      <c r="E198" s="2">
        <v>48242</v>
      </c>
      <c r="G198" s="9">
        <v>0</v>
      </c>
      <c r="H198" s="9"/>
      <c r="J198" s="10" t="s">
        <v>7</v>
      </c>
      <c r="K198" s="10"/>
      <c r="L198" s="10"/>
      <c r="M198" s="10"/>
      <c r="N198" t="str">
        <f>IFERROR(VLOOKUP(D198, Fornecedores!A:B, 2, FALSE), "")</f>
        <v>DIST. DE FERROS E ACO B-R LTDA</v>
      </c>
    </row>
    <row r="199" spans="1:14" ht="11.85" customHeight="1" x14ac:dyDescent="0.2">
      <c r="A199" s="8">
        <v>46245</v>
      </c>
      <c r="B199" s="8"/>
      <c r="C199" s="7">
        <v>2125</v>
      </c>
      <c r="D199" s="4">
        <v>1295</v>
      </c>
      <c r="E199" s="2">
        <v>2296.6999999999998</v>
      </c>
      <c r="G199" s="9">
        <v>0</v>
      </c>
      <c r="H199" s="9"/>
      <c r="J199" s="10" t="s">
        <v>7</v>
      </c>
      <c r="K199" s="10"/>
      <c r="L199" s="10"/>
      <c r="M199" s="10"/>
      <c r="N199" t="str">
        <f>IFERROR(VLOOKUP(D199, Fornecedores!A:B, 2, FALSE), "")</f>
        <v>DIVIPLACAS COMERCIO E SERVICOS DE DIVISORIAS LTDA</v>
      </c>
    </row>
    <row r="200" spans="1:14" ht="11.85" customHeight="1" x14ac:dyDescent="0.2">
      <c r="A200" s="8">
        <v>46245</v>
      </c>
      <c r="B200" s="8"/>
      <c r="C200" s="7">
        <v>1234</v>
      </c>
      <c r="D200" s="4">
        <v>1295</v>
      </c>
      <c r="E200" s="2">
        <v>6826.29</v>
      </c>
      <c r="G200" s="9">
        <v>0</v>
      </c>
      <c r="H200" s="9"/>
      <c r="J200" s="10" t="s">
        <v>7</v>
      </c>
      <c r="K200" s="10"/>
      <c r="L200" s="10"/>
      <c r="M200" s="10"/>
      <c r="N200" t="str">
        <f>IFERROR(VLOOKUP(D200, Fornecedores!A:B, 2, FALSE), "")</f>
        <v>DIVIPLACAS COMERCIO E SERVICOS DE DIVISORIAS LTDA</v>
      </c>
    </row>
    <row r="201" spans="1:14" ht="11.85" customHeight="1" x14ac:dyDescent="0.2">
      <c r="A201" s="8">
        <v>46245</v>
      </c>
      <c r="B201" s="8"/>
      <c r="C201" s="7">
        <v>1234</v>
      </c>
      <c r="D201" s="4">
        <v>1295</v>
      </c>
      <c r="E201" s="2">
        <v>198.71</v>
      </c>
      <c r="G201" s="9">
        <v>0</v>
      </c>
      <c r="H201" s="9"/>
      <c r="J201" s="10" t="s">
        <v>7</v>
      </c>
      <c r="K201" s="10"/>
      <c r="L201" s="10"/>
      <c r="M201" s="10"/>
      <c r="N201" t="str">
        <f>IFERROR(VLOOKUP(D201, Fornecedores!A:B, 2, FALSE), "")</f>
        <v>DIVIPLACAS COMERCIO E SERVICOS DE DIVISORIAS LTDA</v>
      </c>
    </row>
    <row r="202" spans="1:14" ht="11.85" customHeight="1" x14ac:dyDescent="0.2">
      <c r="A202" s="8">
        <v>46245</v>
      </c>
      <c r="B202" s="8"/>
      <c r="C202" s="7">
        <v>1181</v>
      </c>
      <c r="D202" s="4">
        <v>1364</v>
      </c>
      <c r="E202" s="2">
        <v>221</v>
      </c>
      <c r="G202" s="9">
        <v>0</v>
      </c>
      <c r="H202" s="9"/>
      <c r="J202" s="10" t="s">
        <v>7</v>
      </c>
      <c r="K202" s="10"/>
      <c r="L202" s="10"/>
      <c r="M202" s="10"/>
      <c r="N202" t="str">
        <f>IFERROR(VLOOKUP(D202, Fornecedores!A:B, 2, FALSE), "")</f>
        <v>CARAJAS DIST. DE EMBALAGENS E PROD.DE LIMPEZA LTDA</v>
      </c>
    </row>
    <row r="203" spans="1:14" ht="11.85" customHeight="1" x14ac:dyDescent="0.2">
      <c r="A203" s="8">
        <v>46245</v>
      </c>
      <c r="B203" s="8"/>
      <c r="C203" s="7">
        <v>988</v>
      </c>
      <c r="D203" s="4">
        <v>1393</v>
      </c>
      <c r="E203" s="2">
        <v>124.2</v>
      </c>
      <c r="G203" s="9">
        <v>0</v>
      </c>
      <c r="H203" s="9"/>
      <c r="J203" s="10" t="s">
        <v>7</v>
      </c>
      <c r="K203" s="10"/>
      <c r="L203" s="10"/>
      <c r="M203" s="10"/>
      <c r="N203" t="str">
        <f>IFERROR(VLOOKUP(D203, Fornecedores!A:B, 2, FALSE), "")</f>
        <v>FERPAM COMERCIO DE BORRACHAS LTDA</v>
      </c>
    </row>
    <row r="204" spans="1:14" ht="11.85" customHeight="1" x14ac:dyDescent="0.2">
      <c r="A204" s="8">
        <v>46245</v>
      </c>
      <c r="B204" s="8"/>
      <c r="C204" s="7">
        <v>1025</v>
      </c>
      <c r="D204" s="4">
        <v>1433</v>
      </c>
      <c r="E204" s="2">
        <v>195.4</v>
      </c>
      <c r="G204" s="9">
        <v>0</v>
      </c>
      <c r="H204" s="9"/>
      <c r="J204" s="10" t="s">
        <v>7</v>
      </c>
      <c r="K204" s="10"/>
      <c r="L204" s="10"/>
      <c r="M204" s="10"/>
      <c r="N204" t="str">
        <f>IFERROR(VLOOKUP(D204, Fornecedores!A:B, 2, FALSE), "")</f>
        <v>Construpiso Com. de materiais p/ constr. LTDA-EPP</v>
      </c>
    </row>
    <row r="205" spans="1:14" ht="11.85" customHeight="1" x14ac:dyDescent="0.2">
      <c r="A205" s="8">
        <v>46245</v>
      </c>
      <c r="B205" s="8"/>
      <c r="C205" s="7">
        <v>1025</v>
      </c>
      <c r="D205" s="4">
        <v>1486</v>
      </c>
      <c r="E205" s="2">
        <v>39.9</v>
      </c>
      <c r="G205" s="9">
        <v>0</v>
      </c>
      <c r="H205" s="9"/>
      <c r="J205" s="10" t="s">
        <v>7</v>
      </c>
      <c r="K205" s="10"/>
      <c r="L205" s="10"/>
      <c r="M205" s="10"/>
      <c r="N205" t="str">
        <f>IFERROR(VLOOKUP(D205, Fornecedores!A:B, 2, FALSE), "")</f>
        <v>TAKAO LTDA</v>
      </c>
    </row>
    <row r="206" spans="1:14" ht="11.85" customHeight="1" x14ac:dyDescent="0.2">
      <c r="A206" s="8">
        <v>46245</v>
      </c>
      <c r="B206" s="8"/>
      <c r="C206" s="7">
        <v>1027</v>
      </c>
      <c r="D206" s="4">
        <v>1486</v>
      </c>
      <c r="E206" s="2">
        <v>48.8</v>
      </c>
      <c r="G206" s="9">
        <v>0</v>
      </c>
      <c r="H206" s="9"/>
      <c r="J206" s="10" t="s">
        <v>7</v>
      </c>
      <c r="K206" s="10"/>
      <c r="L206" s="10"/>
      <c r="M206" s="10"/>
      <c r="N206" t="str">
        <f>IFERROR(VLOOKUP(D206, Fornecedores!A:B, 2, FALSE), "")</f>
        <v>TAKAO LTDA</v>
      </c>
    </row>
    <row r="207" spans="1:14" ht="11.85" customHeight="1" x14ac:dyDescent="0.2">
      <c r="A207" s="8">
        <v>46245</v>
      </c>
      <c r="B207" s="8"/>
      <c r="C207" s="7">
        <v>919</v>
      </c>
      <c r="D207" s="4">
        <v>1486</v>
      </c>
      <c r="E207" s="2">
        <v>219.12</v>
      </c>
      <c r="G207" s="9">
        <v>0</v>
      </c>
      <c r="H207" s="9"/>
      <c r="J207" s="10" t="s">
        <v>7</v>
      </c>
      <c r="K207" s="10"/>
      <c r="L207" s="10"/>
      <c r="M207" s="10"/>
      <c r="N207" t="str">
        <f>IFERROR(VLOOKUP(D207, Fornecedores!A:B, 2, FALSE), "")</f>
        <v>TAKAO LTDA</v>
      </c>
    </row>
    <row r="208" spans="1:14" ht="11.85" customHeight="1" x14ac:dyDescent="0.2">
      <c r="A208" s="8">
        <v>46245</v>
      </c>
      <c r="B208" s="8"/>
      <c r="C208" s="7">
        <v>1027</v>
      </c>
      <c r="D208" s="4">
        <v>1486</v>
      </c>
      <c r="E208" s="2">
        <v>62.32</v>
      </c>
      <c r="G208" s="9">
        <v>0</v>
      </c>
      <c r="H208" s="9"/>
      <c r="J208" s="10" t="s">
        <v>7</v>
      </c>
      <c r="K208" s="10"/>
      <c r="L208" s="10"/>
      <c r="M208" s="10"/>
      <c r="N208" t="str">
        <f>IFERROR(VLOOKUP(D208, Fornecedores!A:B, 2, FALSE), "")</f>
        <v>TAKAO LTDA</v>
      </c>
    </row>
    <row r="209" spans="1:14" ht="11.85" customHeight="1" x14ac:dyDescent="0.2">
      <c r="A209" s="8">
        <v>46245</v>
      </c>
      <c r="B209" s="8"/>
      <c r="C209" s="7">
        <v>1647</v>
      </c>
      <c r="D209" s="4">
        <v>1486</v>
      </c>
      <c r="E209" s="2">
        <v>335.08</v>
      </c>
      <c r="G209" s="9">
        <v>0</v>
      </c>
      <c r="H209" s="9"/>
      <c r="J209" s="10" t="s">
        <v>7</v>
      </c>
      <c r="K209" s="10"/>
      <c r="L209" s="10"/>
      <c r="M209" s="10"/>
      <c r="N209" t="str">
        <f>IFERROR(VLOOKUP(D209, Fornecedores!A:B, 2, FALSE), "")</f>
        <v>TAKAO LTDA</v>
      </c>
    </row>
    <row r="210" spans="1:14" ht="11.85" customHeight="1" x14ac:dyDescent="0.2">
      <c r="A210" s="8">
        <v>46245</v>
      </c>
      <c r="B210" s="8"/>
      <c r="C210" s="7">
        <v>1022</v>
      </c>
      <c r="D210" s="4">
        <v>1593</v>
      </c>
      <c r="E210" s="2">
        <v>1950</v>
      </c>
      <c r="G210" s="9">
        <v>0</v>
      </c>
      <c r="H210" s="9"/>
      <c r="J210" s="10" t="s">
        <v>7</v>
      </c>
      <c r="K210" s="10"/>
      <c r="L210" s="10"/>
      <c r="M210" s="10"/>
      <c r="N210" t="str">
        <f>IFERROR(VLOOKUP(D210, Fornecedores!A:B, 2, FALSE), "")</f>
        <v>C RUBIN TRANSPORTES LTDA</v>
      </c>
    </row>
    <row r="211" spans="1:14" ht="11.85" customHeight="1" x14ac:dyDescent="0.2">
      <c r="A211" s="8">
        <v>46245</v>
      </c>
      <c r="B211" s="8"/>
      <c r="C211" s="7">
        <v>1022</v>
      </c>
      <c r="D211" s="4">
        <v>1593</v>
      </c>
      <c r="E211" s="2">
        <v>3400</v>
      </c>
      <c r="G211" s="9">
        <v>0</v>
      </c>
      <c r="H211" s="9"/>
      <c r="J211" s="10" t="s">
        <v>7</v>
      </c>
      <c r="K211" s="10"/>
      <c r="L211" s="10"/>
      <c r="M211" s="10"/>
      <c r="N211" t="str">
        <f>IFERROR(VLOOKUP(D211, Fornecedores!A:B, 2, FALSE), "")</f>
        <v>C RUBIN TRANSPORTES LTDA</v>
      </c>
    </row>
    <row r="212" spans="1:14" ht="11.85" customHeight="1" x14ac:dyDescent="0.2">
      <c r="A212" s="8">
        <v>46245</v>
      </c>
      <c r="B212" s="8"/>
      <c r="C212" s="7">
        <v>2138</v>
      </c>
      <c r="D212" s="4">
        <v>1617</v>
      </c>
      <c r="E212" s="2">
        <v>1548</v>
      </c>
      <c r="G212" s="9">
        <v>0</v>
      </c>
      <c r="H212" s="9"/>
      <c r="J212" s="10" t="s">
        <v>7</v>
      </c>
      <c r="K212" s="10"/>
      <c r="L212" s="10"/>
      <c r="M212" s="10"/>
      <c r="N212" t="str">
        <f>IFERROR(VLOOKUP(D212, Fornecedores!A:B, 2, FALSE), "")</f>
        <v>FABIANO COM ATAC DE FERRAMENTAS E MAT DE CONS LTDA</v>
      </c>
    </row>
    <row r="213" spans="1:14" ht="11.85" customHeight="1" x14ac:dyDescent="0.2">
      <c r="A213" s="8">
        <v>46245</v>
      </c>
      <c r="B213" s="8"/>
      <c r="C213" s="7">
        <v>1027</v>
      </c>
      <c r="D213" s="4">
        <v>1617</v>
      </c>
      <c r="E213" s="2">
        <v>450.18</v>
      </c>
      <c r="G213" s="9">
        <v>0</v>
      </c>
      <c r="H213" s="9"/>
      <c r="J213" s="10" t="s">
        <v>7</v>
      </c>
      <c r="K213" s="10"/>
      <c r="L213" s="10"/>
      <c r="M213" s="10"/>
      <c r="N213" t="str">
        <f>IFERROR(VLOOKUP(D213, Fornecedores!A:B, 2, FALSE), "")</f>
        <v>FABIANO COM ATAC DE FERRAMENTAS E MAT DE CONS LTDA</v>
      </c>
    </row>
    <row r="214" spans="1:14" ht="11.85" customHeight="1" x14ac:dyDescent="0.2">
      <c r="A214" s="8">
        <v>46245</v>
      </c>
      <c r="B214" s="8"/>
      <c r="C214" s="7">
        <v>1027</v>
      </c>
      <c r="D214" s="4">
        <v>1617</v>
      </c>
      <c r="E214" s="2">
        <v>288.41000000000003</v>
      </c>
      <c r="G214" s="9">
        <v>0</v>
      </c>
      <c r="H214" s="9"/>
      <c r="J214" s="10" t="s">
        <v>7</v>
      </c>
      <c r="K214" s="10"/>
      <c r="L214" s="10"/>
      <c r="M214" s="10"/>
      <c r="N214" t="str">
        <f>IFERROR(VLOOKUP(D214, Fornecedores!A:B, 2, FALSE), "")</f>
        <v>FABIANO COM ATAC DE FERRAMENTAS E MAT DE CONS LTDA</v>
      </c>
    </row>
    <row r="215" spans="1:14" ht="11.85" customHeight="1" x14ac:dyDescent="0.2">
      <c r="A215" s="8">
        <v>46245</v>
      </c>
      <c r="B215" s="8"/>
      <c r="C215" s="7">
        <v>919</v>
      </c>
      <c r="D215" s="4">
        <v>1617</v>
      </c>
      <c r="E215" s="2">
        <v>100.88</v>
      </c>
      <c r="G215" s="9">
        <v>0</v>
      </c>
      <c r="H215" s="9"/>
      <c r="J215" s="10" t="s">
        <v>7</v>
      </c>
      <c r="K215" s="10"/>
      <c r="L215" s="10"/>
      <c r="M215" s="10"/>
      <c r="N215" t="str">
        <f>IFERROR(VLOOKUP(D215, Fornecedores!A:B, 2, FALSE), "")</f>
        <v>FABIANO COM ATAC DE FERRAMENTAS E MAT DE CONS LTDA</v>
      </c>
    </row>
    <row r="216" spans="1:14" ht="11.85" customHeight="1" x14ac:dyDescent="0.2">
      <c r="A216" s="8">
        <v>46245</v>
      </c>
      <c r="B216" s="8"/>
      <c r="C216" s="7">
        <v>983</v>
      </c>
      <c r="D216" s="4">
        <v>1712</v>
      </c>
      <c r="E216" s="2">
        <v>5529.3</v>
      </c>
      <c r="G216" s="9">
        <v>0</v>
      </c>
      <c r="H216" s="9"/>
      <c r="J216" s="10" t="s">
        <v>7</v>
      </c>
      <c r="K216" s="10"/>
      <c r="L216" s="10"/>
      <c r="M216" s="10"/>
      <c r="N216" t="str">
        <f>IFERROR(VLOOKUP(D216, Fornecedores!A:B, 2, FALSE), "")</f>
        <v>ATIVA MATERIAIS ELETRICOS LTDA</v>
      </c>
    </row>
    <row r="217" spans="1:14" ht="11.85" customHeight="1" x14ac:dyDescent="0.2">
      <c r="A217" s="8">
        <v>46245</v>
      </c>
      <c r="B217" s="8"/>
      <c r="C217" s="7">
        <v>272</v>
      </c>
      <c r="D217" s="4">
        <v>1743</v>
      </c>
      <c r="E217" s="2">
        <v>1006</v>
      </c>
      <c r="G217" s="9">
        <v>0</v>
      </c>
      <c r="H217" s="9"/>
      <c r="J217" s="10" t="s">
        <v>7</v>
      </c>
      <c r="K217" s="10"/>
      <c r="L217" s="10"/>
      <c r="M217" s="10"/>
      <c r="N217" t="str">
        <f>IFERROR(VLOOKUP(D217, Fornecedores!A:B, 2, FALSE), "")</f>
        <v>BARBOSA E ANJOS LTDA</v>
      </c>
    </row>
    <row r="218" spans="1:14" ht="11.85" customHeight="1" x14ac:dyDescent="0.2">
      <c r="A218" s="8">
        <v>46245</v>
      </c>
      <c r="B218" s="8"/>
      <c r="C218" s="7">
        <v>1181</v>
      </c>
      <c r="D218" s="4">
        <v>2085</v>
      </c>
      <c r="E218" s="2">
        <v>270.2</v>
      </c>
      <c r="G218" s="9">
        <v>0</v>
      </c>
      <c r="H218" s="9"/>
      <c r="J218" s="10" t="s">
        <v>7</v>
      </c>
      <c r="K218" s="10"/>
      <c r="L218" s="10"/>
      <c r="M218" s="10"/>
      <c r="N218" t="str">
        <f>IFERROR(VLOOKUP(D218, Fornecedores!A:B, 2, FALSE), "")</f>
        <v>BRILHUSS PRODUTOS DE HIGIENE E LIMPEZA EIRELI - ME</v>
      </c>
    </row>
    <row r="219" spans="1:14" ht="11.85" customHeight="1" x14ac:dyDescent="0.2">
      <c r="A219" s="8">
        <v>46245</v>
      </c>
      <c r="B219" s="8"/>
      <c r="C219" s="7">
        <v>1027</v>
      </c>
      <c r="D219" s="4">
        <v>2117</v>
      </c>
      <c r="E219" s="2">
        <v>2964.25</v>
      </c>
      <c r="G219" s="9">
        <v>0</v>
      </c>
      <c r="H219" s="9"/>
      <c r="J219" s="10" t="s">
        <v>7</v>
      </c>
      <c r="K219" s="10"/>
      <c r="L219" s="10"/>
      <c r="M219" s="10"/>
      <c r="N219" t="str">
        <f>IFERROR(VLOOKUP(D219, Fornecedores!A:B, 2, FALSE), "")</f>
        <v>TERRA FIRME CONSTRUCAO E MOVEIS LTDA</v>
      </c>
    </row>
    <row r="220" spans="1:14" ht="11.85" customHeight="1" x14ac:dyDescent="0.2">
      <c r="A220" s="8">
        <v>46245</v>
      </c>
      <c r="B220" s="8"/>
      <c r="C220" s="7">
        <v>1027</v>
      </c>
      <c r="D220" s="4">
        <v>2202</v>
      </c>
      <c r="E220" s="2">
        <v>30</v>
      </c>
      <c r="G220" s="9">
        <v>0</v>
      </c>
      <c r="H220" s="9"/>
      <c r="J220" s="10" t="s">
        <v>7</v>
      </c>
      <c r="K220" s="10"/>
      <c r="L220" s="10"/>
      <c r="M220" s="10"/>
      <c r="N220" t="str">
        <f>IFERROR(VLOOKUP(D220, Fornecedores!A:B, 2, FALSE), "")</f>
        <v>J COELHO MODESTO LTDA ME</v>
      </c>
    </row>
    <row r="221" spans="1:14" ht="11.85" customHeight="1" x14ac:dyDescent="0.2">
      <c r="A221" s="8">
        <v>46246</v>
      </c>
      <c r="B221" s="8"/>
      <c r="C221" s="7">
        <v>5</v>
      </c>
      <c r="D221" s="4">
        <v>5</v>
      </c>
      <c r="E221" s="2">
        <v>133.30000000000001</v>
      </c>
      <c r="G221" s="9">
        <v>0</v>
      </c>
      <c r="H221" s="9"/>
      <c r="J221" s="10" t="s">
        <v>7</v>
      </c>
      <c r="K221" s="10"/>
      <c r="L221" s="10"/>
      <c r="M221" s="10"/>
      <c r="N221" t="str">
        <f>IFERROR(VLOOKUP(C221, Fornecedores!A:B, 2, FALSE), "")</f>
        <v/>
      </c>
    </row>
    <row r="222" spans="1:14" ht="11.85" customHeight="1" x14ac:dyDescent="0.2">
      <c r="A222" s="8">
        <v>46246</v>
      </c>
      <c r="B222" s="8"/>
      <c r="C222" s="7">
        <v>5</v>
      </c>
      <c r="D222" s="4">
        <v>5</v>
      </c>
      <c r="E222" s="2">
        <v>270</v>
      </c>
      <c r="G222" s="9">
        <v>0</v>
      </c>
      <c r="H222" s="9"/>
      <c r="J222" s="10" t="s">
        <v>7</v>
      </c>
      <c r="K222" s="10"/>
      <c r="L222" s="10"/>
      <c r="M222" s="10"/>
      <c r="N222" t="str">
        <f>IFERROR(VLOOKUP(C222, Fornecedores!A:B, 2, FALSE), "")</f>
        <v/>
      </c>
    </row>
    <row r="223" spans="1:14" ht="11.85" customHeight="1" x14ac:dyDescent="0.2">
      <c r="A223" s="8">
        <v>46246</v>
      </c>
      <c r="B223" s="8"/>
      <c r="C223" s="7">
        <v>1021</v>
      </c>
      <c r="D223" s="4">
        <v>5</v>
      </c>
      <c r="E223" s="2">
        <v>42</v>
      </c>
      <c r="G223" s="9">
        <v>0</v>
      </c>
      <c r="H223" s="9"/>
      <c r="J223" s="10" t="s">
        <v>7</v>
      </c>
      <c r="K223" s="10"/>
      <c r="L223" s="10"/>
      <c r="M223" s="10"/>
      <c r="N223" t="str">
        <f>IFERROR(VLOOKUP(C223, Fornecedores!A:B, 2, FALSE), "")</f>
        <v/>
      </c>
    </row>
    <row r="224" spans="1:14" ht="11.85" customHeight="1" x14ac:dyDescent="0.2">
      <c r="A224" s="8">
        <v>46246</v>
      </c>
      <c r="B224" s="8"/>
      <c r="C224" s="7">
        <v>1021</v>
      </c>
      <c r="D224" s="4">
        <v>5</v>
      </c>
      <c r="E224" s="2">
        <v>200</v>
      </c>
      <c r="G224" s="9">
        <v>0</v>
      </c>
      <c r="H224" s="9"/>
      <c r="J224" s="10" t="s">
        <v>7</v>
      </c>
      <c r="K224" s="10"/>
      <c r="L224" s="10"/>
      <c r="M224" s="10"/>
      <c r="N224" t="str">
        <f>IFERROR(VLOOKUP(C224, Fornecedores!A:B, 2, FALSE), "")</f>
        <v/>
      </c>
    </row>
    <row r="225" spans="1:14" ht="11.85" customHeight="1" x14ac:dyDescent="0.2">
      <c r="A225" s="8">
        <v>46246</v>
      </c>
      <c r="B225" s="8"/>
      <c r="C225" s="7">
        <v>1021</v>
      </c>
      <c r="D225" s="4">
        <v>5</v>
      </c>
      <c r="E225" s="2">
        <v>180.4</v>
      </c>
      <c r="G225" s="9">
        <v>0</v>
      </c>
      <c r="H225" s="9"/>
      <c r="J225" s="10" t="s">
        <v>7</v>
      </c>
      <c r="K225" s="10"/>
      <c r="L225" s="10"/>
      <c r="M225" s="10"/>
      <c r="N225" t="str">
        <f>IFERROR(VLOOKUP(C225, Fornecedores!A:B, 2, FALSE), "")</f>
        <v/>
      </c>
    </row>
    <row r="226" spans="1:14" ht="11.85" customHeight="1" x14ac:dyDescent="0.2">
      <c r="A226" s="8">
        <v>46246</v>
      </c>
      <c r="B226" s="8"/>
      <c r="C226" s="7">
        <v>1021</v>
      </c>
      <c r="D226" s="4">
        <v>5</v>
      </c>
      <c r="E226" s="2">
        <v>857</v>
      </c>
      <c r="G226" s="9">
        <v>0</v>
      </c>
      <c r="H226" s="9"/>
      <c r="J226" s="10" t="s">
        <v>7</v>
      </c>
      <c r="K226" s="10"/>
      <c r="L226" s="10"/>
      <c r="M226" s="10"/>
      <c r="N226" t="str">
        <f>IFERROR(VLOOKUP(C226, Fornecedores!A:B, 2, FALSE), "")</f>
        <v/>
      </c>
    </row>
    <row r="227" spans="1:14" ht="11.85" customHeight="1" x14ac:dyDescent="0.2">
      <c r="A227" s="8">
        <v>46246</v>
      </c>
      <c r="B227" s="8"/>
      <c r="C227" s="7">
        <v>1021</v>
      </c>
      <c r="D227" s="4">
        <v>5</v>
      </c>
      <c r="E227" s="2">
        <v>40</v>
      </c>
      <c r="G227" s="9">
        <v>0</v>
      </c>
      <c r="H227" s="9"/>
      <c r="J227" s="10" t="s">
        <v>7</v>
      </c>
      <c r="K227" s="10"/>
      <c r="L227" s="10"/>
      <c r="M227" s="10"/>
      <c r="N227" t="str">
        <f>IFERROR(VLOOKUP(C227, Fornecedores!A:B, 2, FALSE), "")</f>
        <v/>
      </c>
    </row>
    <row r="228" spans="1:14" ht="11.85" customHeight="1" x14ac:dyDescent="0.2">
      <c r="A228" s="8">
        <v>46246</v>
      </c>
      <c r="B228" s="8"/>
      <c r="C228" s="7">
        <v>1021</v>
      </c>
      <c r="D228" s="4">
        <v>5</v>
      </c>
      <c r="E228" s="2">
        <v>11</v>
      </c>
      <c r="G228" s="9">
        <v>0</v>
      </c>
      <c r="H228" s="9"/>
      <c r="J228" s="10" t="s">
        <v>7</v>
      </c>
      <c r="K228" s="10"/>
      <c r="L228" s="10"/>
      <c r="M228" s="10"/>
      <c r="N228" t="str">
        <f>IFERROR(VLOOKUP(C228, Fornecedores!A:B, 2, FALSE), "")</f>
        <v/>
      </c>
    </row>
    <row r="229" spans="1:14" ht="11.85" customHeight="1" x14ac:dyDescent="0.2">
      <c r="A229" s="8">
        <v>46246</v>
      </c>
      <c r="B229" s="8"/>
      <c r="C229" s="7">
        <v>1021</v>
      </c>
      <c r="D229" s="4">
        <v>5</v>
      </c>
      <c r="E229" s="2">
        <v>187</v>
      </c>
      <c r="G229" s="9">
        <v>0</v>
      </c>
      <c r="H229" s="9"/>
      <c r="J229" s="10" t="s">
        <v>7</v>
      </c>
      <c r="K229" s="10"/>
      <c r="L229" s="10"/>
      <c r="M229" s="10"/>
      <c r="N229" t="str">
        <f>IFERROR(VLOOKUP(C229, Fornecedores!A:B, 2, FALSE), "")</f>
        <v/>
      </c>
    </row>
    <row r="230" spans="1:14" ht="11.85" customHeight="1" x14ac:dyDescent="0.2">
      <c r="A230" s="8">
        <v>46246</v>
      </c>
      <c r="B230" s="8"/>
      <c r="C230" s="7">
        <v>1021</v>
      </c>
      <c r="D230" s="4">
        <v>5</v>
      </c>
      <c r="E230" s="2">
        <v>42</v>
      </c>
      <c r="G230" s="9">
        <v>0</v>
      </c>
      <c r="H230" s="9"/>
      <c r="J230" s="10" t="s">
        <v>7</v>
      </c>
      <c r="K230" s="10"/>
      <c r="L230" s="10"/>
      <c r="M230" s="10"/>
      <c r="N230" t="str">
        <f>IFERROR(VLOOKUP(C230, Fornecedores!A:B, 2, FALSE), "")</f>
        <v/>
      </c>
    </row>
    <row r="231" spans="1:14" ht="11.85" customHeight="1" x14ac:dyDescent="0.2">
      <c r="A231" s="8">
        <v>46246</v>
      </c>
      <c r="B231" s="8"/>
      <c r="C231" s="7">
        <v>1021</v>
      </c>
      <c r="D231" s="4">
        <v>5</v>
      </c>
      <c r="E231" s="2">
        <v>111</v>
      </c>
      <c r="G231" s="9">
        <v>0</v>
      </c>
      <c r="H231" s="9"/>
      <c r="J231" s="10" t="s">
        <v>7</v>
      </c>
      <c r="K231" s="10"/>
      <c r="L231" s="10"/>
      <c r="M231" s="10"/>
      <c r="N231" t="str">
        <f>IFERROR(VLOOKUP(C231, Fornecedores!A:B, 2, FALSE), "")</f>
        <v/>
      </c>
    </row>
    <row r="232" spans="1:14" ht="11.85" customHeight="1" x14ac:dyDescent="0.2">
      <c r="A232" s="8">
        <v>46246</v>
      </c>
      <c r="B232" s="8"/>
      <c r="C232" s="7">
        <v>5</v>
      </c>
      <c r="D232" s="4">
        <v>5</v>
      </c>
      <c r="E232" s="2">
        <v>269</v>
      </c>
      <c r="G232" s="9">
        <v>0</v>
      </c>
      <c r="H232" s="9"/>
      <c r="J232" s="10" t="s">
        <v>7</v>
      </c>
      <c r="K232" s="10"/>
      <c r="L232" s="10"/>
      <c r="M232" s="10"/>
      <c r="N232" t="str">
        <f>IFERROR(VLOOKUP(C232, Fornecedores!A:B, 2, FALSE), "")</f>
        <v/>
      </c>
    </row>
    <row r="233" spans="1:14" ht="11.85" customHeight="1" x14ac:dyDescent="0.2">
      <c r="A233" s="8">
        <v>46246</v>
      </c>
      <c r="B233" s="8"/>
      <c r="C233" s="7">
        <v>5</v>
      </c>
      <c r="D233" s="4">
        <v>5</v>
      </c>
      <c r="E233" s="2">
        <v>4725</v>
      </c>
      <c r="G233" s="9">
        <v>0</v>
      </c>
      <c r="H233" s="9"/>
      <c r="J233" s="10" t="s">
        <v>7</v>
      </c>
      <c r="K233" s="10"/>
      <c r="L233" s="10"/>
      <c r="M233" s="10"/>
      <c r="N233" t="str">
        <f>IFERROR(VLOOKUP(C233, Fornecedores!A:B, 2, FALSE), "")</f>
        <v/>
      </c>
    </row>
    <row r="234" spans="1:14" ht="11.85" customHeight="1" x14ac:dyDescent="0.2">
      <c r="A234" s="8">
        <v>46246</v>
      </c>
      <c r="B234" s="8"/>
      <c r="C234" s="7">
        <v>5</v>
      </c>
      <c r="D234" s="4">
        <v>5</v>
      </c>
      <c r="E234" s="2">
        <v>1420.41</v>
      </c>
      <c r="G234" s="9">
        <v>0</v>
      </c>
      <c r="H234" s="9"/>
      <c r="J234" s="10" t="s">
        <v>7</v>
      </c>
      <c r="K234" s="10"/>
      <c r="L234" s="10"/>
      <c r="M234" s="10"/>
      <c r="N234" t="str">
        <f>IFERROR(VLOOKUP(C234, Fornecedores!A:B, 2, FALSE), "")</f>
        <v/>
      </c>
    </row>
    <row r="235" spans="1:14" ht="11.85" customHeight="1" x14ac:dyDescent="0.2">
      <c r="A235" s="8">
        <v>46246</v>
      </c>
      <c r="B235" s="8"/>
      <c r="C235" s="7">
        <v>5</v>
      </c>
      <c r="D235" s="4">
        <v>5</v>
      </c>
      <c r="E235" s="2">
        <v>2100</v>
      </c>
      <c r="G235" s="9">
        <v>0</v>
      </c>
      <c r="H235" s="9"/>
      <c r="J235" s="10" t="s">
        <v>7</v>
      </c>
      <c r="K235" s="10"/>
      <c r="L235" s="10"/>
      <c r="M235" s="10"/>
      <c r="N235" t="str">
        <f>IFERROR(VLOOKUP(C235, Fornecedores!A:B, 2, FALSE), "")</f>
        <v/>
      </c>
    </row>
    <row r="236" spans="1:14" ht="11.85" customHeight="1" x14ac:dyDescent="0.2">
      <c r="A236" s="8">
        <v>46246</v>
      </c>
      <c r="B236" s="8"/>
      <c r="C236" s="7">
        <v>5</v>
      </c>
      <c r="D236" s="4">
        <v>5</v>
      </c>
      <c r="E236" s="2">
        <v>130.84</v>
      </c>
      <c r="G236" s="9">
        <v>0</v>
      </c>
      <c r="H236" s="9"/>
      <c r="J236" s="10" t="s">
        <v>7</v>
      </c>
      <c r="K236" s="10"/>
      <c r="L236" s="10"/>
      <c r="M236" s="10"/>
      <c r="N236" t="str">
        <f>IFERROR(VLOOKUP(C236, Fornecedores!A:B, 2, FALSE), "")</f>
        <v/>
      </c>
    </row>
    <row r="237" spans="1:14" ht="11.85" customHeight="1" x14ac:dyDescent="0.2">
      <c r="A237" s="8">
        <v>46246</v>
      </c>
      <c r="B237" s="8"/>
      <c r="C237" s="7">
        <v>5</v>
      </c>
      <c r="D237" s="4">
        <v>5</v>
      </c>
      <c r="E237" s="2">
        <v>11360</v>
      </c>
      <c r="G237" s="9">
        <v>0</v>
      </c>
      <c r="H237" s="9"/>
      <c r="J237" s="10" t="s">
        <v>7</v>
      </c>
      <c r="K237" s="10"/>
      <c r="L237" s="10"/>
      <c r="M237" s="10"/>
      <c r="N237" t="str">
        <f>IFERROR(VLOOKUP(C237, Fornecedores!A:B, 2, FALSE), "")</f>
        <v/>
      </c>
    </row>
    <row r="238" spans="1:14" ht="11.85" customHeight="1" x14ac:dyDescent="0.2">
      <c r="A238" s="8">
        <v>46246</v>
      </c>
      <c r="B238" s="8"/>
      <c r="C238" s="7">
        <v>1024</v>
      </c>
      <c r="D238" s="4">
        <v>520</v>
      </c>
      <c r="E238" s="2">
        <v>2935.68</v>
      </c>
      <c r="G238" s="9">
        <v>0</v>
      </c>
      <c r="H238" s="9"/>
      <c r="J238" s="10" t="s">
        <v>7</v>
      </c>
      <c r="K238" s="10"/>
      <c r="L238" s="10"/>
      <c r="M238" s="10"/>
      <c r="N238" t="str">
        <f>IFERROR(VLOOKUP(D238, Fornecedores!A:B, 2, FALSE), "")</f>
        <v>RENACOR COM. DE TINTAS LTDA (TAQUARALTO)</v>
      </c>
    </row>
    <row r="239" spans="1:14" ht="11.85" customHeight="1" x14ac:dyDescent="0.2">
      <c r="A239" s="8">
        <v>46246</v>
      </c>
      <c r="B239" s="8"/>
      <c r="C239" s="7">
        <v>909</v>
      </c>
      <c r="D239" s="4">
        <v>526</v>
      </c>
      <c r="E239" s="2">
        <v>1506.6</v>
      </c>
      <c r="G239" s="9">
        <v>0</v>
      </c>
      <c r="H239" s="9"/>
      <c r="J239" s="10" t="s">
        <v>7</v>
      </c>
      <c r="K239" s="10"/>
      <c r="L239" s="10"/>
      <c r="M239" s="10"/>
      <c r="N239" t="str">
        <f>IFERROR(VLOOKUP(D239, Fornecedores!A:B, 2, FALSE), "")</f>
        <v>FERPAM COM. DE FERRAMENTAS PARAFUSOS E MAQUINAS LTDA</v>
      </c>
    </row>
    <row r="240" spans="1:14" ht="11.85" customHeight="1" x14ac:dyDescent="0.2">
      <c r="A240" s="8">
        <v>46246</v>
      </c>
      <c r="B240" s="8"/>
      <c r="C240" s="7">
        <v>907</v>
      </c>
      <c r="D240" s="4">
        <v>526</v>
      </c>
      <c r="E240" s="2">
        <v>69.02</v>
      </c>
      <c r="G240" s="9">
        <v>0</v>
      </c>
      <c r="H240" s="9"/>
      <c r="J240" s="10" t="s">
        <v>7</v>
      </c>
      <c r="K240" s="10"/>
      <c r="L240" s="10"/>
      <c r="M240" s="10"/>
      <c r="N240" t="str">
        <f>IFERROR(VLOOKUP(D240, Fornecedores!A:B, 2, FALSE), "")</f>
        <v>FERPAM COM. DE FERRAMENTAS PARAFUSOS E MAQUINAS LTDA</v>
      </c>
    </row>
    <row r="241" spans="1:14" ht="11.85" customHeight="1" x14ac:dyDescent="0.2">
      <c r="A241" s="8">
        <v>46246</v>
      </c>
      <c r="B241" s="8"/>
      <c r="C241" s="7">
        <v>887</v>
      </c>
      <c r="D241" s="4">
        <v>526</v>
      </c>
      <c r="E241" s="2">
        <v>220</v>
      </c>
      <c r="G241" s="9">
        <v>0</v>
      </c>
      <c r="H241" s="9"/>
      <c r="J241" s="10" t="s">
        <v>7</v>
      </c>
      <c r="K241" s="10"/>
      <c r="L241" s="10"/>
      <c r="M241" s="10"/>
      <c r="N241" t="str">
        <f>IFERROR(VLOOKUP(D241, Fornecedores!A:B, 2, FALSE), "")</f>
        <v>FERPAM COM. DE FERRAMENTAS PARAFUSOS E MAQUINAS LTDA</v>
      </c>
    </row>
    <row r="242" spans="1:14" ht="11.85" customHeight="1" x14ac:dyDescent="0.2">
      <c r="A242" s="8">
        <v>46246</v>
      </c>
      <c r="B242" s="8"/>
      <c r="C242" s="7">
        <v>1025</v>
      </c>
      <c r="D242" s="4">
        <v>526</v>
      </c>
      <c r="E242" s="2">
        <v>968.54</v>
      </c>
      <c r="G242" s="9">
        <v>0</v>
      </c>
      <c r="H242" s="9"/>
      <c r="J242" s="10" t="s">
        <v>7</v>
      </c>
      <c r="K242" s="10"/>
      <c r="L242" s="10"/>
      <c r="M242" s="10"/>
      <c r="N242" t="str">
        <f>IFERROR(VLOOKUP(D242, Fornecedores!A:B, 2, FALSE), "")</f>
        <v>FERPAM COM. DE FERRAMENTAS PARAFUSOS E MAQUINAS LTDA</v>
      </c>
    </row>
    <row r="243" spans="1:14" ht="11.85" customHeight="1" x14ac:dyDescent="0.2">
      <c r="A243" s="8">
        <v>46246</v>
      </c>
      <c r="B243" s="8"/>
      <c r="C243" s="7">
        <v>1638</v>
      </c>
      <c r="D243" s="4">
        <v>532</v>
      </c>
      <c r="E243" s="2">
        <v>80554.31</v>
      </c>
      <c r="G243" s="9">
        <v>0</v>
      </c>
      <c r="H243" s="9"/>
      <c r="J243" s="10" t="s">
        <v>7</v>
      </c>
      <c r="K243" s="10"/>
      <c r="L243" s="10"/>
      <c r="M243" s="10"/>
      <c r="N243" t="str">
        <f>IFERROR(VLOOKUP(D243, Fornecedores!A:B, 2, FALSE), "")</f>
        <v>FL RODRIGUES E CIA LTDA</v>
      </c>
    </row>
    <row r="244" spans="1:14" ht="11.85" customHeight="1" x14ac:dyDescent="0.2">
      <c r="A244" s="8">
        <v>46246</v>
      </c>
      <c r="B244" s="8"/>
      <c r="C244" s="7">
        <v>886</v>
      </c>
      <c r="D244" s="4">
        <v>537</v>
      </c>
      <c r="E244" s="2">
        <v>410</v>
      </c>
      <c r="G244" s="9">
        <v>0</v>
      </c>
      <c r="H244" s="9"/>
      <c r="J244" s="10" t="s">
        <v>7</v>
      </c>
      <c r="K244" s="10"/>
      <c r="L244" s="10"/>
      <c r="M244" s="10"/>
      <c r="N244" t="str">
        <f>IFERROR(VLOOKUP(D244, Fornecedores!A:B, 2, FALSE), "")</f>
        <v>ENGSIK IMPERMEABILIZACOES EIRELI - EPP</v>
      </c>
    </row>
    <row r="245" spans="1:14" ht="11.85" customHeight="1" x14ac:dyDescent="0.2">
      <c r="A245" s="8">
        <v>46246</v>
      </c>
      <c r="B245" s="8"/>
      <c r="C245" s="7">
        <v>2026</v>
      </c>
      <c r="D245" s="4">
        <v>655</v>
      </c>
      <c r="E245" s="2">
        <v>5435.04</v>
      </c>
      <c r="G245" s="9">
        <v>0</v>
      </c>
      <c r="H245" s="9"/>
      <c r="J245" s="10" t="s">
        <v>7</v>
      </c>
      <c r="K245" s="10"/>
      <c r="L245" s="10"/>
      <c r="M245" s="10"/>
      <c r="N245" t="str">
        <f>IFERROR(VLOOKUP(D245, Fornecedores!A:B, 2, FALSE), "")</f>
        <v>DIST. DE FERROS E ACO B-R LTDA</v>
      </c>
    </row>
    <row r="246" spans="1:14" ht="11.85" customHeight="1" x14ac:dyDescent="0.2">
      <c r="A246" s="8">
        <v>46246</v>
      </c>
      <c r="B246" s="8"/>
      <c r="C246" s="7">
        <v>989</v>
      </c>
      <c r="D246" s="4">
        <v>1413</v>
      </c>
      <c r="E246" s="2">
        <v>60</v>
      </c>
      <c r="G246" s="9">
        <v>0</v>
      </c>
      <c r="H246" s="9"/>
      <c r="J246" s="10" t="s">
        <v>7</v>
      </c>
      <c r="K246" s="10"/>
      <c r="L246" s="10"/>
      <c r="M246" s="10"/>
      <c r="N246" t="str">
        <f>IFERROR(VLOOKUP(D246, Fornecedores!A:B, 2, FALSE), "")</f>
        <v>BRASIL FERRAGENS Ltda</v>
      </c>
    </row>
    <row r="247" spans="1:14" ht="11.85" customHeight="1" x14ac:dyDescent="0.2">
      <c r="A247" s="8">
        <v>46246</v>
      </c>
      <c r="B247" s="8"/>
      <c r="C247" s="7">
        <v>988</v>
      </c>
      <c r="D247" s="4">
        <v>1413</v>
      </c>
      <c r="E247" s="2">
        <v>116.96</v>
      </c>
      <c r="G247" s="9">
        <v>0</v>
      </c>
      <c r="H247" s="9"/>
      <c r="J247" s="10" t="s">
        <v>7</v>
      </c>
      <c r="K247" s="10"/>
      <c r="L247" s="10"/>
      <c r="M247" s="10"/>
      <c r="N247" t="str">
        <f>IFERROR(VLOOKUP(D247, Fornecedores!A:B, 2, FALSE), "")</f>
        <v>BRASIL FERRAGENS Ltda</v>
      </c>
    </row>
    <row r="248" spans="1:14" ht="11.85" customHeight="1" x14ac:dyDescent="0.2">
      <c r="A248" s="8">
        <v>46246</v>
      </c>
      <c r="B248" s="8"/>
      <c r="C248" s="7">
        <v>988</v>
      </c>
      <c r="D248" s="4">
        <v>1413</v>
      </c>
      <c r="E248" s="2">
        <v>228</v>
      </c>
      <c r="G248" s="9">
        <v>0</v>
      </c>
      <c r="H248" s="9"/>
      <c r="J248" s="10" t="s">
        <v>7</v>
      </c>
      <c r="K248" s="10"/>
      <c r="L248" s="10"/>
      <c r="M248" s="10"/>
      <c r="N248" t="str">
        <f>IFERROR(VLOOKUP(D248, Fornecedores!A:B, 2, FALSE), "")</f>
        <v>BRASIL FERRAGENS Ltda</v>
      </c>
    </row>
    <row r="249" spans="1:14" ht="11.85" customHeight="1" x14ac:dyDescent="0.2">
      <c r="A249" s="8">
        <v>46246</v>
      </c>
      <c r="B249" s="8"/>
      <c r="C249" s="7">
        <v>1027</v>
      </c>
      <c r="D249" s="4">
        <v>1473</v>
      </c>
      <c r="E249" s="2">
        <v>180.4</v>
      </c>
      <c r="G249" s="9">
        <v>0</v>
      </c>
      <c r="H249" s="9"/>
      <c r="J249" s="10" t="s">
        <v>7</v>
      </c>
      <c r="K249" s="10"/>
      <c r="L249" s="10"/>
      <c r="M249" s="10"/>
      <c r="N249" t="str">
        <f>IFERROR(VLOOKUP(D249, Fornecedores!A:B, 2, FALSE), "")</f>
        <v>M. C. COM. ATAC. DE MAT. DE CONST LTDA 3215-3346</v>
      </c>
    </row>
    <row r="250" spans="1:14" ht="11.85" customHeight="1" x14ac:dyDescent="0.2">
      <c r="A250" s="8">
        <v>46246</v>
      </c>
      <c r="B250" s="8"/>
      <c r="C250" s="7">
        <v>983</v>
      </c>
      <c r="D250" s="4">
        <v>1490</v>
      </c>
      <c r="E250" s="2">
        <v>225</v>
      </c>
      <c r="G250" s="9">
        <v>0</v>
      </c>
      <c r="H250" s="9"/>
      <c r="J250" s="10" t="s">
        <v>7</v>
      </c>
      <c r="K250" s="10"/>
      <c r="L250" s="10"/>
      <c r="M250" s="10"/>
      <c r="N250" t="str">
        <f>IFERROR(VLOOKUP(D250, Fornecedores!A:B, 2, FALSE), "")</f>
        <v>BIG DISTRIBUIDORA DE MATERIAIS DE CONSTRUCAO LTDA</v>
      </c>
    </row>
    <row r="251" spans="1:14" ht="11.85" customHeight="1" x14ac:dyDescent="0.2">
      <c r="A251" s="8">
        <v>46246</v>
      </c>
      <c r="B251" s="8"/>
      <c r="C251" s="7">
        <v>2026</v>
      </c>
      <c r="D251" s="4">
        <v>1573</v>
      </c>
      <c r="E251" s="2">
        <v>646.75</v>
      </c>
      <c r="G251" s="9">
        <v>0</v>
      </c>
      <c r="H251" s="9"/>
      <c r="J251" s="10" t="s">
        <v>7</v>
      </c>
      <c r="K251" s="10"/>
      <c r="L251" s="10"/>
      <c r="M251" s="10"/>
      <c r="N251" t="str">
        <f>IFERROR(VLOOKUP(D251, Fornecedores!A:B, 2, FALSE), "")</f>
        <v>FERROTEC DISTRIBUIDORA DE FERRO E ACO LTDA.</v>
      </c>
    </row>
    <row r="252" spans="1:14" ht="11.85" customHeight="1" x14ac:dyDescent="0.2">
      <c r="A252" s="8">
        <v>46246</v>
      </c>
      <c r="B252" s="8"/>
      <c r="C252" s="7">
        <v>1020</v>
      </c>
      <c r="D252" s="4">
        <v>1573</v>
      </c>
      <c r="E252" s="2">
        <v>340</v>
      </c>
      <c r="G252" s="9">
        <v>0</v>
      </c>
      <c r="H252" s="9"/>
      <c r="J252" s="10" t="s">
        <v>7</v>
      </c>
      <c r="K252" s="10"/>
      <c r="L252" s="10"/>
      <c r="M252" s="10"/>
      <c r="N252" t="str">
        <f>IFERROR(VLOOKUP(D252, Fornecedores!A:B, 2, FALSE), "")</f>
        <v>FERROTEC DISTRIBUIDORA DE FERRO E ACO LTDA.</v>
      </c>
    </row>
    <row r="253" spans="1:14" ht="11.85" customHeight="1" x14ac:dyDescent="0.2">
      <c r="A253" s="8">
        <v>46246</v>
      </c>
      <c r="B253" s="8"/>
      <c r="C253" s="7">
        <v>2134</v>
      </c>
      <c r="D253" s="4">
        <v>1573</v>
      </c>
      <c r="E253" s="2">
        <v>3900</v>
      </c>
      <c r="G253" s="9">
        <v>0</v>
      </c>
      <c r="H253" s="9"/>
      <c r="J253" s="10" t="s">
        <v>7</v>
      </c>
      <c r="K253" s="10"/>
      <c r="L253" s="10"/>
      <c r="M253" s="10"/>
      <c r="N253" t="str">
        <f>IFERROR(VLOOKUP(D253, Fornecedores!A:B, 2, FALSE), "")</f>
        <v>FERROTEC DISTRIBUIDORA DE FERRO E ACO LTDA.</v>
      </c>
    </row>
    <row r="254" spans="1:14" ht="11.85" customHeight="1" x14ac:dyDescent="0.2">
      <c r="A254" s="8">
        <v>46246</v>
      </c>
      <c r="B254" s="8"/>
      <c r="C254" s="7">
        <v>1665</v>
      </c>
      <c r="D254" s="4">
        <v>1629</v>
      </c>
      <c r="E254" s="2">
        <v>2190</v>
      </c>
      <c r="G254" s="9">
        <v>0</v>
      </c>
      <c r="H254" s="9"/>
      <c r="J254" s="10" t="s">
        <v>7</v>
      </c>
      <c r="K254" s="10"/>
      <c r="L254" s="10"/>
      <c r="M254" s="10"/>
      <c r="N254" t="str">
        <f>IFERROR(VLOOKUP(D254, Fornecedores!A:B, 2, FALSE), "")</f>
        <v>MADEIREIRA SANTA ROSA LTDA</v>
      </c>
    </row>
    <row r="255" spans="1:14" ht="11.85" customHeight="1" x14ac:dyDescent="0.2">
      <c r="A255" s="8">
        <v>46246</v>
      </c>
      <c r="B255" s="8"/>
      <c r="C255" s="7">
        <v>1027</v>
      </c>
      <c r="D255" s="4">
        <v>1706</v>
      </c>
      <c r="E255" s="2">
        <v>2015.93</v>
      </c>
      <c r="G255" s="9">
        <v>0</v>
      </c>
      <c r="H255" s="9"/>
      <c r="J255" s="10" t="s">
        <v>7</v>
      </c>
      <c r="K255" s="10"/>
      <c r="L255" s="10"/>
      <c r="M255" s="10"/>
      <c r="N255" t="str">
        <f>IFERROR(VLOOKUP(D255, Fornecedores!A:B, 2, FALSE), "")</f>
        <v>Dexco S.A.</v>
      </c>
    </row>
    <row r="256" spans="1:14" ht="11.85" customHeight="1" x14ac:dyDescent="0.2">
      <c r="A256" s="8">
        <v>46246</v>
      </c>
      <c r="B256" s="8"/>
      <c r="C256" s="7">
        <v>272</v>
      </c>
      <c r="D256" s="4">
        <v>1743</v>
      </c>
      <c r="E256" s="2">
        <v>1003</v>
      </c>
      <c r="G256" s="9">
        <v>0</v>
      </c>
      <c r="H256" s="9"/>
      <c r="J256" s="10" t="s">
        <v>7</v>
      </c>
      <c r="K256" s="10"/>
      <c r="L256" s="10"/>
      <c r="M256" s="10"/>
      <c r="N256" t="str">
        <f>IFERROR(VLOOKUP(D256, Fornecedores!A:B, 2, FALSE), "")</f>
        <v>BARBOSA E ANJOS LTDA</v>
      </c>
    </row>
    <row r="257" spans="1:14" ht="11.85" customHeight="1" x14ac:dyDescent="0.2">
      <c r="A257" s="8">
        <v>46246</v>
      </c>
      <c r="B257" s="8"/>
      <c r="C257" s="7">
        <v>1181</v>
      </c>
      <c r="D257" s="4">
        <v>2085</v>
      </c>
      <c r="E257" s="2">
        <v>249.4</v>
      </c>
      <c r="G257" s="9">
        <v>0</v>
      </c>
      <c r="H257" s="9"/>
      <c r="J257" s="10" t="s">
        <v>7</v>
      </c>
      <c r="K257" s="10"/>
      <c r="L257" s="10"/>
      <c r="M257" s="10"/>
      <c r="N257" t="str">
        <f>IFERROR(VLOOKUP(D257, Fornecedores!A:B, 2, FALSE), "")</f>
        <v>BRILHUSS PRODUTOS DE HIGIENE E LIMPEZA EIRELI - ME</v>
      </c>
    </row>
    <row r="258" spans="1:14" ht="11.85" customHeight="1" x14ac:dyDescent="0.2">
      <c r="A258" s="8">
        <v>46246</v>
      </c>
      <c r="B258" s="8"/>
      <c r="C258" s="7">
        <v>2265</v>
      </c>
      <c r="D258" s="4">
        <v>2085</v>
      </c>
      <c r="E258" s="2">
        <v>87.33</v>
      </c>
      <c r="G258" s="9">
        <v>0</v>
      </c>
      <c r="H258" s="9"/>
      <c r="J258" s="10" t="s">
        <v>7</v>
      </c>
      <c r="K258" s="10"/>
      <c r="L258" s="10"/>
      <c r="M258" s="10"/>
      <c r="N258" t="str">
        <f>IFERROR(VLOOKUP(D258, Fornecedores!A:B, 2, FALSE), "")</f>
        <v>BRILHUSS PRODUTOS DE HIGIENE E LIMPEZA EIRELI - ME</v>
      </c>
    </row>
    <row r="259" spans="1:14" ht="11.85" customHeight="1" x14ac:dyDescent="0.2">
      <c r="A259" s="8">
        <v>46247</v>
      </c>
      <c r="B259" s="8"/>
      <c r="C259" s="4">
        <v>5</v>
      </c>
      <c r="D259" s="4">
        <v>467</v>
      </c>
      <c r="E259" s="2">
        <v>21824.23</v>
      </c>
      <c r="G259" s="9">
        <v>0</v>
      </c>
      <c r="H259" s="9"/>
      <c r="J259" s="10" t="s">
        <v>6</v>
      </c>
      <c r="K259" s="10"/>
      <c r="L259" s="10"/>
      <c r="M259" s="10"/>
      <c r="N259" t="str">
        <f>IFERROR(VLOOKUP(D259, Fornecedores!A:B, 2, FALSE), "")</f>
        <v/>
      </c>
    </row>
    <row r="260" spans="1:14" ht="11.85" customHeight="1" x14ac:dyDescent="0.2">
      <c r="A260" s="8">
        <v>46247</v>
      </c>
      <c r="B260" s="8"/>
      <c r="C260" s="7">
        <v>1027</v>
      </c>
      <c r="D260" s="4">
        <v>5</v>
      </c>
      <c r="E260" s="2">
        <v>76.2</v>
      </c>
      <c r="G260" s="9">
        <v>0</v>
      </c>
      <c r="H260" s="9"/>
      <c r="J260" s="10" t="s">
        <v>7</v>
      </c>
      <c r="K260" s="10"/>
      <c r="L260" s="10"/>
      <c r="M260" s="10"/>
      <c r="N260" t="str">
        <f>IFERROR(VLOOKUP(D260, Fornecedores!A:B, 2, FALSE), "")</f>
        <v/>
      </c>
    </row>
    <row r="261" spans="1:14" ht="11.85" customHeight="1" x14ac:dyDescent="0.2">
      <c r="A261" s="8">
        <v>46247</v>
      </c>
      <c r="B261" s="8"/>
      <c r="C261" s="7">
        <v>1022</v>
      </c>
      <c r="D261" s="4">
        <v>5</v>
      </c>
      <c r="E261" s="2">
        <v>1270</v>
      </c>
      <c r="G261" s="9">
        <v>0</v>
      </c>
      <c r="H261" s="9"/>
      <c r="J261" s="10" t="s">
        <v>7</v>
      </c>
      <c r="K261" s="10"/>
      <c r="L261" s="10"/>
      <c r="M261" s="10"/>
      <c r="N261" t="str">
        <f>IFERROR(VLOOKUP(D261, Fornecedores!A:B, 2, FALSE), "")</f>
        <v/>
      </c>
    </row>
    <row r="262" spans="1:14" ht="11.85" customHeight="1" x14ac:dyDescent="0.2">
      <c r="A262" s="8">
        <v>46247</v>
      </c>
      <c r="B262" s="8"/>
      <c r="C262" s="7">
        <v>1027</v>
      </c>
      <c r="D262" s="4">
        <v>5</v>
      </c>
      <c r="E262" s="2">
        <v>88.3</v>
      </c>
      <c r="G262" s="9">
        <v>0</v>
      </c>
      <c r="H262" s="9"/>
      <c r="J262" s="10" t="s">
        <v>7</v>
      </c>
      <c r="K262" s="10"/>
      <c r="L262" s="10"/>
      <c r="M262" s="10"/>
      <c r="N262" t="str">
        <f>IFERROR(VLOOKUP(D262, Fornecedores!A:B, 2, FALSE), "")</f>
        <v/>
      </c>
    </row>
    <row r="263" spans="1:14" ht="11.85" customHeight="1" x14ac:dyDescent="0.2">
      <c r="A263" s="8">
        <v>46247</v>
      </c>
      <c r="B263" s="8"/>
      <c r="C263" s="7">
        <v>1021</v>
      </c>
      <c r="D263" s="4">
        <v>5</v>
      </c>
      <c r="E263" s="2">
        <v>46</v>
      </c>
      <c r="G263" s="9">
        <v>0</v>
      </c>
      <c r="H263" s="9"/>
      <c r="J263" s="10" t="s">
        <v>7</v>
      </c>
      <c r="K263" s="10"/>
      <c r="L263" s="10"/>
      <c r="M263" s="10"/>
      <c r="N263" t="str">
        <f>IFERROR(VLOOKUP(C263, Fornecedores!A:B, 2, FALSE), "")</f>
        <v/>
      </c>
    </row>
    <row r="264" spans="1:14" ht="11.85" customHeight="1" x14ac:dyDescent="0.2">
      <c r="A264" s="8">
        <v>46247</v>
      </c>
      <c r="B264" s="8"/>
      <c r="C264" s="7">
        <v>1021</v>
      </c>
      <c r="D264" s="4">
        <v>5</v>
      </c>
      <c r="E264" s="2">
        <v>8</v>
      </c>
      <c r="G264" s="9">
        <v>0</v>
      </c>
      <c r="H264" s="9"/>
      <c r="J264" s="10" t="s">
        <v>7</v>
      </c>
      <c r="K264" s="10"/>
      <c r="L264" s="10"/>
      <c r="M264" s="10"/>
      <c r="N264" t="str">
        <f>IFERROR(VLOOKUP(C264, Fornecedores!A:B, 2, FALSE), "")</f>
        <v/>
      </c>
    </row>
    <row r="265" spans="1:14" ht="11.85" customHeight="1" x14ac:dyDescent="0.2">
      <c r="A265" s="8">
        <v>46247</v>
      </c>
      <c r="B265" s="8"/>
      <c r="C265" s="7">
        <v>1021</v>
      </c>
      <c r="D265" s="4">
        <v>5</v>
      </c>
      <c r="E265" s="2">
        <v>115</v>
      </c>
      <c r="G265" s="9">
        <v>0</v>
      </c>
      <c r="H265" s="9"/>
      <c r="J265" s="10" t="s">
        <v>7</v>
      </c>
      <c r="K265" s="10"/>
      <c r="L265" s="10"/>
      <c r="M265" s="10"/>
      <c r="N265" t="str">
        <f>IFERROR(VLOOKUP(C265, Fornecedores!A:B, 2, FALSE), "")</f>
        <v/>
      </c>
    </row>
    <row r="266" spans="1:14" ht="11.85" customHeight="1" x14ac:dyDescent="0.2">
      <c r="A266" s="8">
        <v>46247</v>
      </c>
      <c r="B266" s="8"/>
      <c r="C266" s="7">
        <v>1021</v>
      </c>
      <c r="D266" s="4">
        <v>5</v>
      </c>
      <c r="E266" s="2">
        <v>104</v>
      </c>
      <c r="G266" s="9">
        <v>0</v>
      </c>
      <c r="H266" s="9"/>
      <c r="J266" s="10" t="s">
        <v>7</v>
      </c>
      <c r="K266" s="10"/>
      <c r="L266" s="10"/>
      <c r="M266" s="10"/>
      <c r="N266" t="str">
        <f>IFERROR(VLOOKUP(C266, Fornecedores!A:B, 2, FALSE), "")</f>
        <v/>
      </c>
    </row>
    <row r="267" spans="1:14" ht="11.85" customHeight="1" x14ac:dyDescent="0.2">
      <c r="A267" s="8">
        <v>46247</v>
      </c>
      <c r="B267" s="8"/>
      <c r="C267" s="7">
        <v>1027</v>
      </c>
      <c r="D267" s="4">
        <v>5</v>
      </c>
      <c r="E267" s="2">
        <v>529.29999999999995</v>
      </c>
      <c r="G267" s="9">
        <v>0</v>
      </c>
      <c r="H267" s="9"/>
      <c r="J267" s="10" t="s">
        <v>7</v>
      </c>
      <c r="K267" s="10"/>
      <c r="L267" s="10"/>
      <c r="M267" s="10"/>
      <c r="N267" t="str">
        <f>IFERROR(VLOOKUP(D267, Fornecedores!A:B, 2, FALSE), "")</f>
        <v/>
      </c>
    </row>
    <row r="268" spans="1:14" ht="11.85" customHeight="1" x14ac:dyDescent="0.2">
      <c r="A268" s="8">
        <v>46247</v>
      </c>
      <c r="B268" s="8"/>
      <c r="C268" s="7">
        <v>1027</v>
      </c>
      <c r="D268" s="4">
        <v>5</v>
      </c>
      <c r="E268" s="2">
        <v>25.6</v>
      </c>
      <c r="G268" s="9">
        <v>0</v>
      </c>
      <c r="H268" s="9"/>
      <c r="J268" s="10" t="s">
        <v>7</v>
      </c>
      <c r="K268" s="10"/>
      <c r="L268" s="10"/>
      <c r="M268" s="10"/>
      <c r="N268" t="str">
        <f>IFERROR(VLOOKUP(D268, Fornecedores!A:B, 2, FALSE), "")</f>
        <v/>
      </c>
    </row>
    <row r="269" spans="1:14" ht="11.85" customHeight="1" x14ac:dyDescent="0.2">
      <c r="A269" s="8">
        <v>46247</v>
      </c>
      <c r="B269" s="8"/>
      <c r="C269" s="7">
        <v>1025</v>
      </c>
      <c r="D269" s="4">
        <v>5</v>
      </c>
      <c r="E269" s="2">
        <v>102.24</v>
      </c>
      <c r="G269" s="9">
        <v>0</v>
      </c>
      <c r="H269" s="9"/>
      <c r="J269" s="10" t="s">
        <v>7</v>
      </c>
      <c r="K269" s="10"/>
      <c r="L269" s="10"/>
      <c r="M269" s="10"/>
      <c r="N269" t="str">
        <f>IFERROR(VLOOKUP(D269, Fornecedores!A:B, 2, FALSE), "")</f>
        <v/>
      </c>
    </row>
    <row r="270" spans="1:14" ht="11.85" customHeight="1" x14ac:dyDescent="0.2">
      <c r="A270" s="8">
        <v>46247</v>
      </c>
      <c r="B270" s="8"/>
      <c r="C270" s="7">
        <v>1024</v>
      </c>
      <c r="D270" s="4">
        <v>5</v>
      </c>
      <c r="E270" s="2">
        <v>274</v>
      </c>
      <c r="G270" s="9">
        <v>0</v>
      </c>
      <c r="H270" s="9"/>
      <c r="J270" s="10" t="s">
        <v>7</v>
      </c>
      <c r="K270" s="10"/>
      <c r="L270" s="10"/>
      <c r="M270" s="10"/>
      <c r="N270" t="str">
        <f>IFERROR(VLOOKUP(D270, Fornecedores!A:B, 2, FALSE), "")</f>
        <v/>
      </c>
    </row>
    <row r="271" spans="1:14" ht="11.85" customHeight="1" x14ac:dyDescent="0.2">
      <c r="A271" s="8">
        <v>46247</v>
      </c>
      <c r="B271" s="8"/>
      <c r="D271" s="4">
        <v>519</v>
      </c>
      <c r="E271" s="2">
        <v>582.5</v>
      </c>
      <c r="G271" s="9">
        <v>0</v>
      </c>
      <c r="H271" s="9"/>
      <c r="J271" s="10" t="s">
        <v>7</v>
      </c>
      <c r="K271" s="10"/>
      <c r="L271" s="10"/>
      <c r="M271" s="10"/>
      <c r="N271" t="str">
        <f>IFERROR(VLOOKUP(#REF!, Fornecedores!A:B, 2, FALSE), "")</f>
        <v/>
      </c>
    </row>
    <row r="272" spans="1:14" ht="11.85" customHeight="1" x14ac:dyDescent="0.2">
      <c r="A272" s="8">
        <v>46247</v>
      </c>
      <c r="B272" s="8"/>
      <c r="D272" s="4">
        <v>519</v>
      </c>
      <c r="E272" s="2">
        <v>722.47</v>
      </c>
      <c r="G272" s="9">
        <v>0</v>
      </c>
      <c r="H272" s="9"/>
      <c r="J272" s="10" t="s">
        <v>7</v>
      </c>
      <c r="K272" s="10"/>
      <c r="L272" s="10"/>
      <c r="M272" s="10"/>
      <c r="N272" t="str">
        <f>IFERROR(VLOOKUP(#REF!, Fornecedores!A:B, 2, FALSE), "")</f>
        <v/>
      </c>
    </row>
    <row r="273" spans="1:14" ht="11.85" customHeight="1" x14ac:dyDescent="0.2">
      <c r="A273" s="8">
        <v>46247</v>
      </c>
      <c r="B273" s="8"/>
      <c r="D273" s="4">
        <v>519</v>
      </c>
      <c r="E273" s="2">
        <v>674.8</v>
      </c>
      <c r="G273" s="9">
        <v>0</v>
      </c>
      <c r="H273" s="9"/>
      <c r="J273" s="10" t="s">
        <v>7</v>
      </c>
      <c r="K273" s="10"/>
      <c r="L273" s="10"/>
      <c r="M273" s="10"/>
      <c r="N273" t="str">
        <f>IFERROR(VLOOKUP(#REF!, Fornecedores!A:B, 2, FALSE), "")</f>
        <v/>
      </c>
    </row>
    <row r="274" spans="1:14" ht="11.85" customHeight="1" x14ac:dyDescent="0.2">
      <c r="A274" s="8">
        <v>46247</v>
      </c>
      <c r="B274" s="8"/>
      <c r="D274" s="4">
        <v>520</v>
      </c>
      <c r="E274" s="2">
        <v>256</v>
      </c>
      <c r="G274" s="9">
        <v>0</v>
      </c>
      <c r="H274" s="9"/>
      <c r="J274" s="10" t="s">
        <v>7</v>
      </c>
      <c r="K274" s="10"/>
      <c r="L274" s="10"/>
      <c r="M274" s="10"/>
      <c r="N274" t="str">
        <f>IFERROR(VLOOKUP(#REF!, Fornecedores!A:B, 2, FALSE), "")</f>
        <v/>
      </c>
    </row>
    <row r="275" spans="1:14" ht="11.85" customHeight="1" x14ac:dyDescent="0.2">
      <c r="A275" s="8">
        <v>46247</v>
      </c>
      <c r="B275" s="8"/>
      <c r="D275" s="4">
        <v>526</v>
      </c>
      <c r="E275" s="2">
        <v>47.72</v>
      </c>
      <c r="G275" s="9">
        <v>0</v>
      </c>
      <c r="H275" s="9"/>
      <c r="J275" s="10" t="s">
        <v>7</v>
      </c>
      <c r="K275" s="10"/>
      <c r="L275" s="10"/>
      <c r="M275" s="10"/>
      <c r="N275" t="str">
        <f>IFERROR(VLOOKUP(#REF!, Fornecedores!A:B, 2, FALSE), "")</f>
        <v/>
      </c>
    </row>
    <row r="276" spans="1:14" ht="11.85" customHeight="1" x14ac:dyDescent="0.2">
      <c r="A276" s="8">
        <v>46247</v>
      </c>
      <c r="B276" s="8"/>
      <c r="D276" s="4">
        <v>526</v>
      </c>
      <c r="E276" s="2">
        <v>289.18</v>
      </c>
      <c r="G276" s="9">
        <v>0</v>
      </c>
      <c r="H276" s="9"/>
      <c r="J276" s="10" t="s">
        <v>7</v>
      </c>
      <c r="K276" s="10"/>
      <c r="L276" s="10"/>
      <c r="M276" s="10"/>
      <c r="N276" t="str">
        <f>IFERROR(VLOOKUP(#REF!, Fornecedores!A:B, 2, FALSE), "")</f>
        <v/>
      </c>
    </row>
    <row r="277" spans="1:14" ht="11.85" customHeight="1" x14ac:dyDescent="0.2">
      <c r="A277" s="8">
        <v>46247</v>
      </c>
      <c r="B277" s="8"/>
      <c r="D277" s="4">
        <v>526</v>
      </c>
      <c r="E277" s="2">
        <v>34.200000000000003</v>
      </c>
      <c r="G277" s="9">
        <v>0</v>
      </c>
      <c r="H277" s="9"/>
      <c r="J277" s="10" t="s">
        <v>7</v>
      </c>
      <c r="K277" s="10"/>
      <c r="L277" s="10"/>
      <c r="M277" s="10"/>
      <c r="N277" t="str">
        <f>IFERROR(VLOOKUP(#REF!, Fornecedores!A:B, 2, FALSE), "")</f>
        <v/>
      </c>
    </row>
    <row r="278" spans="1:14" ht="11.85" customHeight="1" x14ac:dyDescent="0.2">
      <c r="A278" s="8">
        <v>46247</v>
      </c>
      <c r="B278" s="8"/>
      <c r="D278" s="4">
        <v>655</v>
      </c>
      <c r="E278" s="2">
        <v>1563.24</v>
      </c>
      <c r="G278" s="9">
        <v>0</v>
      </c>
      <c r="H278" s="9"/>
      <c r="J278" s="10" t="s">
        <v>7</v>
      </c>
      <c r="K278" s="10"/>
      <c r="L278" s="10"/>
      <c r="M278" s="10"/>
      <c r="N278" t="str">
        <f>IFERROR(VLOOKUP(#REF!, Fornecedores!A:B, 2, FALSE), "")</f>
        <v/>
      </c>
    </row>
    <row r="279" spans="1:14" ht="11.85" customHeight="1" x14ac:dyDescent="0.2">
      <c r="A279" s="8">
        <v>46247</v>
      </c>
      <c r="B279" s="8"/>
      <c r="D279" s="4">
        <v>1295</v>
      </c>
      <c r="E279" s="2">
        <v>1534.3</v>
      </c>
      <c r="G279" s="9">
        <v>0</v>
      </c>
      <c r="H279" s="9"/>
      <c r="J279" s="10" t="s">
        <v>7</v>
      </c>
      <c r="K279" s="10"/>
      <c r="L279" s="10"/>
      <c r="M279" s="10"/>
      <c r="N279" t="str">
        <f>IFERROR(VLOOKUP(#REF!, Fornecedores!A:B, 2, FALSE), "")</f>
        <v/>
      </c>
    </row>
    <row r="280" spans="1:14" ht="11.85" customHeight="1" x14ac:dyDescent="0.2">
      <c r="A280" s="8">
        <v>46247</v>
      </c>
      <c r="B280" s="8"/>
      <c r="D280" s="4">
        <v>1295</v>
      </c>
      <c r="E280" s="2">
        <v>330</v>
      </c>
      <c r="G280" s="9">
        <v>0</v>
      </c>
      <c r="H280" s="9"/>
      <c r="J280" s="10" t="s">
        <v>7</v>
      </c>
      <c r="K280" s="10"/>
      <c r="L280" s="10"/>
      <c r="M280" s="10"/>
      <c r="N280" t="str">
        <f>IFERROR(VLOOKUP(#REF!, Fornecedores!A:B, 2, FALSE), "")</f>
        <v/>
      </c>
    </row>
    <row r="281" spans="1:14" ht="11.85" customHeight="1" x14ac:dyDescent="0.2">
      <c r="A281" s="8">
        <v>46247</v>
      </c>
      <c r="B281" s="8"/>
      <c r="D281" s="4">
        <v>1299</v>
      </c>
      <c r="E281" s="2">
        <v>1180</v>
      </c>
      <c r="G281" s="9">
        <v>0</v>
      </c>
      <c r="H281" s="9"/>
      <c r="J281" s="10" t="s">
        <v>7</v>
      </c>
      <c r="K281" s="10"/>
      <c r="L281" s="10"/>
      <c r="M281" s="10"/>
      <c r="N281" t="str">
        <f>IFERROR(VLOOKUP(#REF!, Fornecedores!A:B, 2, FALSE), "")</f>
        <v/>
      </c>
    </row>
    <row r="282" spans="1:14" ht="11.85" customHeight="1" x14ac:dyDescent="0.2">
      <c r="A282" s="8">
        <v>46247</v>
      </c>
      <c r="B282" s="8"/>
      <c r="D282" s="4">
        <v>1337</v>
      </c>
      <c r="E282" s="2">
        <v>23700</v>
      </c>
      <c r="G282" s="9">
        <v>0</v>
      </c>
      <c r="H282" s="9"/>
      <c r="J282" s="10" t="s">
        <v>7</v>
      </c>
      <c r="K282" s="10"/>
      <c r="L282" s="10"/>
      <c r="M282" s="10"/>
      <c r="N282" t="str">
        <f>IFERROR(VLOOKUP(#REF!, Fornecedores!A:B, 2, FALSE), "")</f>
        <v/>
      </c>
    </row>
    <row r="283" spans="1:14" ht="11.85" customHeight="1" x14ac:dyDescent="0.2">
      <c r="A283" s="8">
        <v>46247</v>
      </c>
      <c r="B283" s="8"/>
      <c r="D283" s="4">
        <v>1433</v>
      </c>
      <c r="E283" s="2">
        <v>21824.23</v>
      </c>
      <c r="G283" s="9">
        <v>0</v>
      </c>
      <c r="H283" s="9"/>
      <c r="J283" s="10" t="s">
        <v>7</v>
      </c>
      <c r="K283" s="10"/>
      <c r="L283" s="10"/>
      <c r="M283" s="10"/>
      <c r="N283" t="str">
        <f>IFERROR(VLOOKUP(#REF!, Fornecedores!A:B, 2, FALSE), "")</f>
        <v/>
      </c>
    </row>
    <row r="284" spans="1:14" ht="11.85" customHeight="1" x14ac:dyDescent="0.2">
      <c r="A284" s="8">
        <v>46247</v>
      </c>
      <c r="B284" s="8"/>
      <c r="D284" s="4">
        <v>1433</v>
      </c>
      <c r="E284" s="2">
        <v>15001.36</v>
      </c>
      <c r="G284" s="9">
        <v>0</v>
      </c>
      <c r="H284" s="9"/>
      <c r="J284" s="10" t="s">
        <v>7</v>
      </c>
      <c r="K284" s="10"/>
      <c r="L284" s="10"/>
      <c r="M284" s="10"/>
      <c r="N284" t="str">
        <f>IFERROR(VLOOKUP(#REF!, Fornecedores!A:B, 2, FALSE), "")</f>
        <v/>
      </c>
    </row>
    <row r="285" spans="1:14" ht="11.85" customHeight="1" x14ac:dyDescent="0.2">
      <c r="A285" s="8">
        <v>46247</v>
      </c>
      <c r="B285" s="8"/>
      <c r="D285" s="4">
        <v>1573</v>
      </c>
      <c r="E285" s="2">
        <v>1160</v>
      </c>
      <c r="G285" s="9">
        <v>0</v>
      </c>
      <c r="H285" s="9"/>
      <c r="J285" s="10" t="s">
        <v>7</v>
      </c>
      <c r="K285" s="10"/>
      <c r="L285" s="10"/>
      <c r="M285" s="10"/>
      <c r="N285" t="str">
        <f>IFERROR(VLOOKUP(#REF!, Fornecedores!A:B, 2, FALSE), "")</f>
        <v/>
      </c>
    </row>
    <row r="286" spans="1:14" ht="11.85" customHeight="1" x14ac:dyDescent="0.2">
      <c r="A286" s="8">
        <v>46247</v>
      </c>
      <c r="B286" s="8"/>
      <c r="D286" s="4">
        <v>1610</v>
      </c>
      <c r="E286" s="2">
        <v>1650</v>
      </c>
      <c r="G286" s="9">
        <v>0</v>
      </c>
      <c r="H286" s="9"/>
      <c r="J286" s="10" t="s">
        <v>7</v>
      </c>
      <c r="K286" s="10"/>
      <c r="L286" s="10"/>
      <c r="M286" s="10"/>
      <c r="N286" t="str">
        <f>IFERROR(VLOOKUP(#REF!, Fornecedores!A:B, 2, FALSE), "")</f>
        <v/>
      </c>
    </row>
    <row r="287" spans="1:14" ht="11.85" customHeight="1" x14ac:dyDescent="0.2">
      <c r="A287" s="8">
        <v>46247</v>
      </c>
      <c r="B287" s="8"/>
      <c r="D287" s="4">
        <v>1629</v>
      </c>
      <c r="E287" s="2">
        <v>725</v>
      </c>
      <c r="G287" s="9">
        <v>0</v>
      </c>
      <c r="H287" s="9"/>
      <c r="J287" s="10" t="s">
        <v>7</v>
      </c>
      <c r="K287" s="10"/>
      <c r="L287" s="10"/>
      <c r="M287" s="10"/>
      <c r="N287" t="str">
        <f>IFERROR(VLOOKUP(#REF!, Fornecedores!A:B, 2, FALSE), "")</f>
        <v/>
      </c>
    </row>
    <row r="288" spans="1:14" ht="11.85" customHeight="1" x14ac:dyDescent="0.2">
      <c r="A288" s="8">
        <v>46247</v>
      </c>
      <c r="B288" s="8"/>
      <c r="D288" s="4">
        <v>1706</v>
      </c>
      <c r="E288" s="2">
        <v>226.18</v>
      </c>
      <c r="G288" s="9">
        <v>0</v>
      </c>
      <c r="H288" s="9"/>
      <c r="J288" s="10" t="s">
        <v>7</v>
      </c>
      <c r="K288" s="10"/>
      <c r="L288" s="10"/>
      <c r="M288" s="10"/>
      <c r="N288" t="str">
        <f>IFERROR(VLOOKUP(#REF!, Fornecedores!A:B, 2, FALSE), "")</f>
        <v/>
      </c>
    </row>
    <row r="289" spans="1:14" ht="11.85" customHeight="1" x14ac:dyDescent="0.2">
      <c r="A289" s="8">
        <v>46247</v>
      </c>
      <c r="B289" s="8"/>
      <c r="D289" s="4">
        <v>1706</v>
      </c>
      <c r="E289" s="2">
        <v>650.66</v>
      </c>
      <c r="G289" s="9">
        <v>0</v>
      </c>
      <c r="H289" s="9"/>
      <c r="J289" s="10" t="s">
        <v>7</v>
      </c>
      <c r="K289" s="10"/>
      <c r="L289" s="10"/>
      <c r="M289" s="10"/>
      <c r="N289" t="str">
        <f>IFERROR(VLOOKUP(#REF!, Fornecedores!A:B, 2, FALSE), "")</f>
        <v/>
      </c>
    </row>
    <row r="290" spans="1:14" ht="11.85" customHeight="1" x14ac:dyDescent="0.2">
      <c r="A290" s="8">
        <v>46247</v>
      </c>
      <c r="B290" s="8"/>
      <c r="D290" s="4">
        <v>1706</v>
      </c>
      <c r="E290" s="2">
        <v>6253.5</v>
      </c>
      <c r="G290" s="9">
        <v>0</v>
      </c>
      <c r="H290" s="9"/>
      <c r="J290" s="10" t="s">
        <v>7</v>
      </c>
      <c r="K290" s="10"/>
      <c r="L290" s="10"/>
      <c r="M290" s="10"/>
      <c r="N290" t="str">
        <f>IFERROR(VLOOKUP(#REF!, Fornecedores!A:B, 2, FALSE), "")</f>
        <v/>
      </c>
    </row>
    <row r="291" spans="1:14" ht="11.85" customHeight="1" x14ac:dyDescent="0.2">
      <c r="A291" s="8">
        <v>46247</v>
      </c>
      <c r="B291" s="8"/>
      <c r="D291" s="4">
        <v>1706</v>
      </c>
      <c r="E291" s="2">
        <v>5776.68</v>
      </c>
      <c r="G291" s="9">
        <v>0</v>
      </c>
      <c r="H291" s="9"/>
      <c r="J291" s="10" t="s">
        <v>7</v>
      </c>
      <c r="K291" s="10"/>
      <c r="L291" s="10"/>
      <c r="M291" s="10"/>
      <c r="N291" t="str">
        <f>IFERROR(VLOOKUP(#REF!, Fornecedores!A:B, 2, FALSE), "")</f>
        <v/>
      </c>
    </row>
    <row r="292" spans="1:14" ht="11.85" customHeight="1" x14ac:dyDescent="0.2">
      <c r="A292" s="8">
        <v>46247</v>
      </c>
      <c r="B292" s="8"/>
      <c r="D292" s="4">
        <v>1737</v>
      </c>
      <c r="E292" s="2">
        <v>1212.75</v>
      </c>
      <c r="G292" s="9">
        <v>0</v>
      </c>
      <c r="H292" s="9"/>
      <c r="J292" s="10" t="s">
        <v>7</v>
      </c>
      <c r="K292" s="10"/>
      <c r="L292" s="10"/>
      <c r="M292" s="10"/>
      <c r="N292" t="str">
        <f>IFERROR(VLOOKUP(#REF!, Fornecedores!A:B, 2, FALSE), "")</f>
        <v/>
      </c>
    </row>
    <row r="293" spans="1:14" ht="11.85" customHeight="1" x14ac:dyDescent="0.2">
      <c r="A293" s="8">
        <v>46247</v>
      </c>
      <c r="B293" s="8"/>
      <c r="D293" s="4">
        <v>1741</v>
      </c>
      <c r="E293" s="2">
        <v>790.03</v>
      </c>
      <c r="G293" s="9">
        <v>0</v>
      </c>
      <c r="H293" s="9"/>
      <c r="J293" s="10" t="s">
        <v>7</v>
      </c>
      <c r="K293" s="10"/>
      <c r="L293" s="10"/>
      <c r="M293" s="10"/>
      <c r="N293" t="str">
        <f>IFERROR(VLOOKUP(#REF!, Fornecedores!A:B, 2, FALSE), "")</f>
        <v/>
      </c>
    </row>
    <row r="294" spans="1:14" ht="11.85" customHeight="1" x14ac:dyDescent="0.2">
      <c r="A294" s="8">
        <v>46247</v>
      </c>
      <c r="B294" s="8"/>
      <c r="D294" s="4">
        <v>1806</v>
      </c>
      <c r="E294" s="2">
        <v>303.42</v>
      </c>
      <c r="G294" s="9">
        <v>0</v>
      </c>
      <c r="H294" s="9"/>
      <c r="J294" s="10" t="s">
        <v>7</v>
      </c>
      <c r="K294" s="10"/>
      <c r="L294" s="10"/>
      <c r="M294" s="10"/>
      <c r="N294" t="str">
        <f>IFERROR(VLOOKUP(#REF!, Fornecedores!A:B, 2, FALSE), "")</f>
        <v/>
      </c>
    </row>
    <row r="295" spans="1:14" ht="11.85" customHeight="1" x14ac:dyDescent="0.2">
      <c r="A295" s="8">
        <v>46247</v>
      </c>
      <c r="B295" s="8"/>
      <c r="D295" s="4">
        <v>2183</v>
      </c>
      <c r="E295" s="2">
        <v>375.19</v>
      </c>
      <c r="G295" s="9">
        <v>0</v>
      </c>
      <c r="H295" s="9"/>
      <c r="J295" s="10" t="s">
        <v>7</v>
      </c>
      <c r="K295" s="10"/>
      <c r="L295" s="10"/>
      <c r="M295" s="10"/>
      <c r="N295" t="str">
        <f>IFERROR(VLOOKUP(#REF!, Fornecedores!A:B, 2, FALSE), "")</f>
        <v/>
      </c>
    </row>
    <row r="296" spans="1:14" ht="11.85" customHeight="1" x14ac:dyDescent="0.2">
      <c r="A296" s="8">
        <v>46247</v>
      </c>
      <c r="B296" s="8"/>
      <c r="D296" s="4">
        <v>2183</v>
      </c>
      <c r="E296" s="2">
        <v>2007.23</v>
      </c>
      <c r="G296" s="9">
        <v>0</v>
      </c>
      <c r="H296" s="9"/>
      <c r="J296" s="10" t="s">
        <v>7</v>
      </c>
      <c r="K296" s="10"/>
      <c r="L296" s="10"/>
      <c r="M296" s="10"/>
      <c r="N296" t="str">
        <f>IFERROR(VLOOKUP(#REF!, Fornecedores!A:B, 2, FALSE), "")</f>
        <v/>
      </c>
    </row>
    <row r="297" spans="1:14" ht="11.85" customHeight="1" x14ac:dyDescent="0.2">
      <c r="A297" s="8">
        <v>46247</v>
      </c>
      <c r="B297" s="8"/>
      <c r="D297" s="4">
        <v>2183</v>
      </c>
      <c r="E297" s="2">
        <v>318.61</v>
      </c>
      <c r="G297" s="9">
        <v>0</v>
      </c>
      <c r="H297" s="9"/>
      <c r="J297" s="10" t="s">
        <v>7</v>
      </c>
      <c r="K297" s="10"/>
      <c r="L297" s="10"/>
      <c r="M297" s="10"/>
      <c r="N297" t="str">
        <f>IFERROR(VLOOKUP(#REF!, Fornecedores!A:B, 2, FALSE), "")</f>
        <v/>
      </c>
    </row>
    <row r="298" spans="1:14" ht="11.85" customHeight="1" x14ac:dyDescent="0.2">
      <c r="A298" s="8">
        <v>46247</v>
      </c>
      <c r="B298" s="8"/>
      <c r="D298" s="4">
        <v>2183</v>
      </c>
      <c r="E298" s="2">
        <v>919.75</v>
      </c>
      <c r="G298" s="9">
        <v>0</v>
      </c>
      <c r="H298" s="9"/>
      <c r="J298" s="10" t="s">
        <v>7</v>
      </c>
      <c r="K298" s="10"/>
      <c r="L298" s="10"/>
      <c r="M298" s="10"/>
      <c r="N298" t="str">
        <f>IFERROR(VLOOKUP(#REF!, Fornecedores!A:B, 2, FALSE), "")</f>
        <v/>
      </c>
    </row>
    <row r="299" spans="1:14" ht="11.85" customHeight="1" x14ac:dyDescent="0.2">
      <c r="A299" s="8">
        <v>46248</v>
      </c>
      <c r="B299" s="8"/>
      <c r="C299" s="7">
        <v>916</v>
      </c>
      <c r="D299" s="4">
        <v>5</v>
      </c>
      <c r="E299" s="2">
        <v>5400</v>
      </c>
      <c r="G299" s="9">
        <v>0</v>
      </c>
      <c r="H299" s="9"/>
      <c r="J299" s="10" t="s">
        <v>7</v>
      </c>
      <c r="K299" s="10"/>
      <c r="L299" s="10"/>
      <c r="M299" s="10"/>
      <c r="N299" t="str">
        <f>IFERROR(VLOOKUP(D299, Fornecedores!A:B, 2, FALSE), "")</f>
        <v/>
      </c>
    </row>
    <row r="300" spans="1:14" ht="11.85" customHeight="1" x14ac:dyDescent="0.2">
      <c r="A300" s="8">
        <v>46248</v>
      </c>
      <c r="B300" s="8"/>
      <c r="C300" s="7">
        <v>1021</v>
      </c>
      <c r="D300" s="4">
        <v>5</v>
      </c>
      <c r="E300" s="2">
        <v>381</v>
      </c>
      <c r="G300" s="9">
        <v>0</v>
      </c>
      <c r="H300" s="9"/>
      <c r="J300" s="10" t="s">
        <v>7</v>
      </c>
      <c r="K300" s="10"/>
      <c r="L300" s="10"/>
      <c r="M300" s="10"/>
      <c r="N300" t="str">
        <f>IFERROR(VLOOKUP(C300, Fornecedores!A:B, 2, FALSE), "")</f>
        <v/>
      </c>
    </row>
    <row r="301" spans="1:14" ht="11.85" customHeight="1" x14ac:dyDescent="0.2">
      <c r="A301" s="8">
        <v>46248</v>
      </c>
      <c r="B301" s="8"/>
      <c r="C301" s="7">
        <v>1021</v>
      </c>
      <c r="D301" s="4">
        <v>5</v>
      </c>
      <c r="E301" s="2">
        <v>26</v>
      </c>
      <c r="G301" s="9">
        <v>0</v>
      </c>
      <c r="H301" s="9"/>
      <c r="J301" s="10" t="s">
        <v>7</v>
      </c>
      <c r="K301" s="10"/>
      <c r="L301" s="10"/>
      <c r="M301" s="10"/>
      <c r="N301" t="str">
        <f>IFERROR(VLOOKUP(C301, Fornecedores!A:B, 2, FALSE), "")</f>
        <v/>
      </c>
    </row>
    <row r="302" spans="1:14" ht="11.85" customHeight="1" x14ac:dyDescent="0.2">
      <c r="A302" s="8">
        <v>46248</v>
      </c>
      <c r="B302" s="8"/>
      <c r="C302" s="7">
        <v>1021</v>
      </c>
      <c r="D302" s="4">
        <v>5</v>
      </c>
      <c r="E302" s="2">
        <v>133</v>
      </c>
      <c r="G302" s="9">
        <v>0</v>
      </c>
      <c r="H302" s="9"/>
      <c r="J302" s="10" t="s">
        <v>7</v>
      </c>
      <c r="K302" s="10"/>
      <c r="L302" s="10"/>
      <c r="M302" s="10"/>
      <c r="N302" t="str">
        <f>IFERROR(VLOOKUP(C302, Fornecedores!A:B, 2, FALSE), "")</f>
        <v/>
      </c>
    </row>
    <row r="303" spans="1:14" ht="11.85" customHeight="1" x14ac:dyDescent="0.2">
      <c r="A303" s="8">
        <v>46248</v>
      </c>
      <c r="B303" s="8"/>
      <c r="C303" s="7">
        <v>1021</v>
      </c>
      <c r="D303" s="4">
        <v>5</v>
      </c>
      <c r="E303" s="2">
        <v>42</v>
      </c>
      <c r="G303" s="9">
        <v>0</v>
      </c>
      <c r="H303" s="9"/>
      <c r="J303" s="10" t="s">
        <v>7</v>
      </c>
      <c r="K303" s="10"/>
      <c r="L303" s="10"/>
      <c r="M303" s="10"/>
      <c r="N303" t="str">
        <f>IFERROR(VLOOKUP(C303, Fornecedores!A:B, 2, FALSE), "")</f>
        <v/>
      </c>
    </row>
    <row r="304" spans="1:14" ht="11.85" customHeight="1" x14ac:dyDescent="0.2">
      <c r="A304" s="8">
        <v>46248</v>
      </c>
      <c r="B304" s="8"/>
      <c r="C304" s="7">
        <v>913</v>
      </c>
      <c r="D304" s="4">
        <v>5</v>
      </c>
      <c r="E304" s="2">
        <v>501</v>
      </c>
      <c r="G304" s="9">
        <v>0</v>
      </c>
      <c r="H304" s="9"/>
      <c r="J304" s="10" t="s">
        <v>7</v>
      </c>
      <c r="K304" s="10"/>
      <c r="L304" s="10"/>
      <c r="M304" s="10"/>
      <c r="N304" t="str">
        <f>IFERROR(VLOOKUP(C304, Fornecedores!A:B, 2, FALSE), "")</f>
        <v/>
      </c>
    </row>
    <row r="305" spans="1:14" ht="11.85" customHeight="1" x14ac:dyDescent="0.2">
      <c r="A305" s="8">
        <v>46248</v>
      </c>
      <c r="B305" s="8"/>
      <c r="C305" s="7">
        <v>913</v>
      </c>
      <c r="D305" s="4">
        <v>5</v>
      </c>
      <c r="E305" s="2">
        <v>432.8</v>
      </c>
      <c r="G305" s="9">
        <v>0</v>
      </c>
      <c r="H305" s="9"/>
      <c r="J305" s="10" t="s">
        <v>7</v>
      </c>
      <c r="K305" s="10"/>
      <c r="L305" s="10"/>
      <c r="M305" s="10"/>
      <c r="N305" t="str">
        <f>IFERROR(VLOOKUP(C305, Fornecedores!A:B, 2, FALSE), "")</f>
        <v/>
      </c>
    </row>
    <row r="306" spans="1:14" ht="11.85" customHeight="1" x14ac:dyDescent="0.2">
      <c r="A306" s="8">
        <v>46248</v>
      </c>
      <c r="B306" s="8"/>
      <c r="C306" s="7">
        <v>1021</v>
      </c>
      <c r="D306" s="4">
        <v>5</v>
      </c>
      <c r="E306" s="2">
        <v>64</v>
      </c>
      <c r="G306" s="9">
        <v>0</v>
      </c>
      <c r="H306" s="9"/>
      <c r="J306" s="10" t="s">
        <v>7</v>
      </c>
      <c r="K306" s="10"/>
      <c r="L306" s="10"/>
      <c r="M306" s="10"/>
      <c r="N306" t="str">
        <f>IFERROR(VLOOKUP(C306, Fornecedores!A:B, 2, FALSE), "")</f>
        <v/>
      </c>
    </row>
    <row r="307" spans="1:14" ht="11.85" customHeight="1" x14ac:dyDescent="0.2">
      <c r="A307" s="8">
        <v>46248</v>
      </c>
      <c r="B307" s="8"/>
      <c r="C307" s="7">
        <v>1021</v>
      </c>
      <c r="D307" s="4">
        <v>5</v>
      </c>
      <c r="E307" s="2">
        <v>334</v>
      </c>
      <c r="G307" s="9">
        <v>0</v>
      </c>
      <c r="H307" s="9"/>
      <c r="J307" s="10" t="s">
        <v>7</v>
      </c>
      <c r="K307" s="10"/>
      <c r="L307" s="10"/>
      <c r="M307" s="10"/>
      <c r="N307" t="str">
        <f>IFERROR(VLOOKUP(C307, Fornecedores!A:B, 2, FALSE), "")</f>
        <v/>
      </c>
    </row>
    <row r="308" spans="1:14" ht="11.85" customHeight="1" x14ac:dyDescent="0.2">
      <c r="A308" s="8">
        <v>46248</v>
      </c>
      <c r="B308" s="8"/>
      <c r="C308" s="7">
        <v>1021</v>
      </c>
      <c r="D308" s="4">
        <v>5</v>
      </c>
      <c r="E308" s="2">
        <v>87</v>
      </c>
      <c r="G308" s="9">
        <v>0</v>
      </c>
      <c r="H308" s="9"/>
      <c r="J308" s="10" t="s">
        <v>7</v>
      </c>
      <c r="K308" s="10"/>
      <c r="L308" s="10"/>
      <c r="M308" s="10"/>
      <c r="N308" t="str">
        <f>IFERROR(VLOOKUP(C308, Fornecedores!A:B, 2, FALSE), "")</f>
        <v/>
      </c>
    </row>
    <row r="309" spans="1:14" ht="11.85" customHeight="1" x14ac:dyDescent="0.2">
      <c r="A309" s="8">
        <v>46248</v>
      </c>
      <c r="B309" s="8"/>
      <c r="C309" s="7">
        <v>1021</v>
      </c>
      <c r="D309" s="4">
        <v>5</v>
      </c>
      <c r="E309" s="2">
        <v>32</v>
      </c>
      <c r="G309" s="9">
        <v>0</v>
      </c>
      <c r="H309" s="9"/>
      <c r="J309" s="10" t="s">
        <v>7</v>
      </c>
      <c r="K309" s="10"/>
      <c r="L309" s="10"/>
      <c r="M309" s="10"/>
      <c r="N309" t="str">
        <f>IFERROR(VLOOKUP(C309, Fornecedores!A:B, 2, FALSE), "")</f>
        <v/>
      </c>
    </row>
    <row r="310" spans="1:14" ht="11.85" customHeight="1" x14ac:dyDescent="0.2">
      <c r="A310" s="8">
        <v>46248</v>
      </c>
      <c r="B310" s="8"/>
      <c r="C310" s="7">
        <v>1021</v>
      </c>
      <c r="D310" s="4">
        <v>5</v>
      </c>
      <c r="E310" s="2">
        <v>354</v>
      </c>
      <c r="G310" s="9">
        <v>0</v>
      </c>
      <c r="H310" s="9"/>
      <c r="J310" s="10" t="s">
        <v>7</v>
      </c>
      <c r="K310" s="10"/>
      <c r="L310" s="10"/>
      <c r="M310" s="10"/>
      <c r="N310" t="str">
        <f>IFERROR(VLOOKUP(C310, Fornecedores!A:B, 2, FALSE), "")</f>
        <v/>
      </c>
    </row>
    <row r="311" spans="1:14" ht="11.85" customHeight="1" x14ac:dyDescent="0.2">
      <c r="A311" s="8">
        <v>46248</v>
      </c>
      <c r="B311" s="8"/>
      <c r="C311" s="7">
        <v>1021</v>
      </c>
      <c r="D311" s="4">
        <v>5</v>
      </c>
      <c r="E311" s="2">
        <v>1778.82</v>
      </c>
      <c r="G311" s="9">
        <v>0</v>
      </c>
      <c r="H311" s="9"/>
      <c r="J311" s="10" t="s">
        <v>7</v>
      </c>
      <c r="K311" s="10"/>
      <c r="L311" s="10"/>
      <c r="M311" s="10"/>
      <c r="N311" t="str">
        <f>IFERROR(VLOOKUP(C311, Fornecedores!A:B, 2, FALSE), "")</f>
        <v/>
      </c>
    </row>
    <row r="312" spans="1:14" ht="11.85" customHeight="1" x14ac:dyDescent="0.2">
      <c r="A312" s="8">
        <v>46248</v>
      </c>
      <c r="B312" s="8"/>
      <c r="C312" s="7">
        <v>1021</v>
      </c>
      <c r="D312" s="4">
        <v>5</v>
      </c>
      <c r="E312" s="2">
        <v>197.6</v>
      </c>
      <c r="G312" s="9">
        <v>0</v>
      </c>
      <c r="H312" s="9"/>
      <c r="J312" s="10" t="s">
        <v>7</v>
      </c>
      <c r="K312" s="10"/>
      <c r="L312" s="10"/>
      <c r="M312" s="10"/>
      <c r="N312" t="str">
        <f>IFERROR(VLOOKUP(C312, Fornecedores!A:B, 2, FALSE), "")</f>
        <v/>
      </c>
    </row>
    <row r="313" spans="1:14" ht="11.85" customHeight="1" x14ac:dyDescent="0.2">
      <c r="A313" s="8">
        <v>46248</v>
      </c>
      <c r="B313" s="8"/>
      <c r="C313" s="7">
        <v>1021</v>
      </c>
      <c r="D313" s="4">
        <v>5</v>
      </c>
      <c r="E313" s="2">
        <v>68275.78</v>
      </c>
      <c r="G313" s="9">
        <v>0</v>
      </c>
      <c r="H313" s="9"/>
      <c r="J313" s="10" t="s">
        <v>7</v>
      </c>
      <c r="K313" s="10"/>
      <c r="L313" s="10"/>
      <c r="M313" s="10"/>
      <c r="N313" t="str">
        <f>IFERROR(VLOOKUP(C313, Fornecedores!A:B, 2, FALSE), "")</f>
        <v/>
      </c>
    </row>
    <row r="314" spans="1:14" ht="11.85" customHeight="1" x14ac:dyDescent="0.2">
      <c r="A314" s="8">
        <v>46248</v>
      </c>
      <c r="B314" s="8"/>
      <c r="C314" s="7">
        <v>1027</v>
      </c>
      <c r="D314" s="4">
        <v>5</v>
      </c>
      <c r="E314" s="2">
        <v>24.22</v>
      </c>
      <c r="G314" s="9">
        <v>0</v>
      </c>
      <c r="H314" s="9"/>
      <c r="J314" s="10" t="s">
        <v>7</v>
      </c>
      <c r="K314" s="10"/>
      <c r="L314" s="10"/>
      <c r="M314" s="10"/>
      <c r="N314" t="str">
        <f>IFERROR(VLOOKUP(D314, Fornecedores!A:B, 2, FALSE), "")</f>
        <v/>
      </c>
    </row>
    <row r="315" spans="1:14" ht="11.85" customHeight="1" x14ac:dyDescent="0.2">
      <c r="A315" s="8">
        <v>46248</v>
      </c>
      <c r="B315" s="8"/>
      <c r="C315" s="7">
        <v>1021</v>
      </c>
      <c r="D315" s="4">
        <v>5</v>
      </c>
      <c r="E315" s="2">
        <v>734</v>
      </c>
      <c r="G315" s="9">
        <v>0</v>
      </c>
      <c r="H315" s="9"/>
      <c r="J315" s="10" t="s">
        <v>7</v>
      </c>
      <c r="K315" s="10"/>
      <c r="L315" s="10"/>
      <c r="M315" s="10"/>
      <c r="N315" t="str">
        <f>IFERROR(VLOOKUP(C315, Fornecedores!A:B, 2, FALSE), "")</f>
        <v/>
      </c>
    </row>
    <row r="316" spans="1:14" ht="11.85" customHeight="1" x14ac:dyDescent="0.2">
      <c r="A316" s="8">
        <v>46248</v>
      </c>
      <c r="B316" s="8"/>
      <c r="C316" s="7">
        <v>1021</v>
      </c>
      <c r="D316" s="4">
        <v>5</v>
      </c>
      <c r="E316" s="2">
        <v>46</v>
      </c>
      <c r="G316" s="9">
        <v>0</v>
      </c>
      <c r="H316" s="9"/>
      <c r="J316" s="10" t="s">
        <v>7</v>
      </c>
      <c r="K316" s="10"/>
      <c r="L316" s="10"/>
      <c r="M316" s="10"/>
      <c r="N316" t="str">
        <f>IFERROR(VLOOKUP(C316, Fornecedores!A:B, 2, FALSE), "")</f>
        <v/>
      </c>
    </row>
    <row r="317" spans="1:14" ht="11.85" customHeight="1" x14ac:dyDescent="0.2">
      <c r="A317" s="8">
        <v>46248</v>
      </c>
      <c r="B317" s="8"/>
      <c r="C317" s="7">
        <v>1021</v>
      </c>
      <c r="D317" s="4">
        <v>5</v>
      </c>
      <c r="E317" s="2">
        <v>1045</v>
      </c>
      <c r="G317" s="9">
        <v>0</v>
      </c>
      <c r="H317" s="9"/>
      <c r="J317" s="10" t="s">
        <v>7</v>
      </c>
      <c r="K317" s="10"/>
      <c r="L317" s="10"/>
      <c r="M317" s="10"/>
      <c r="N317" t="str">
        <f>IFERROR(VLOOKUP(C317, Fornecedores!A:B, 2, FALSE), "")</f>
        <v/>
      </c>
    </row>
    <row r="318" spans="1:14" ht="11.85" customHeight="1" x14ac:dyDescent="0.2">
      <c r="A318" s="8">
        <v>46248</v>
      </c>
      <c r="B318" s="8"/>
      <c r="C318" s="7">
        <v>1021</v>
      </c>
      <c r="D318" s="4">
        <v>5</v>
      </c>
      <c r="E318" s="2">
        <v>24</v>
      </c>
      <c r="G318" s="9">
        <v>0</v>
      </c>
      <c r="H318" s="9"/>
      <c r="J318" s="10" t="s">
        <v>7</v>
      </c>
      <c r="K318" s="10"/>
      <c r="L318" s="10"/>
      <c r="M318" s="10"/>
      <c r="N318" t="str">
        <f>IFERROR(VLOOKUP(C318, Fornecedores!A:B, 2, FALSE), "")</f>
        <v/>
      </c>
    </row>
    <row r="319" spans="1:14" ht="11.85" customHeight="1" x14ac:dyDescent="0.2">
      <c r="A319" s="8">
        <v>46248</v>
      </c>
      <c r="B319" s="8"/>
      <c r="C319" s="7">
        <v>1027</v>
      </c>
      <c r="D319" s="4">
        <v>5</v>
      </c>
      <c r="E319" s="2">
        <v>57.3</v>
      </c>
      <c r="G319" s="9">
        <v>0</v>
      </c>
      <c r="H319" s="9"/>
      <c r="J319" s="10" t="s">
        <v>7</v>
      </c>
      <c r="K319" s="10"/>
      <c r="L319" s="10"/>
      <c r="M319" s="10"/>
      <c r="N319" t="str">
        <f>IFERROR(VLOOKUP(D319, Fornecedores!A:B, 2, FALSE), "")</f>
        <v/>
      </c>
    </row>
    <row r="320" spans="1:14" ht="11.85" customHeight="1" x14ac:dyDescent="0.2">
      <c r="A320" s="8">
        <v>46248</v>
      </c>
      <c r="B320" s="8"/>
      <c r="C320" s="7">
        <v>2044</v>
      </c>
      <c r="D320" s="4">
        <v>5</v>
      </c>
      <c r="E320" s="2">
        <v>1545</v>
      </c>
      <c r="G320" s="9">
        <v>0</v>
      </c>
      <c r="H320" s="9"/>
      <c r="J320" s="10" t="s">
        <v>7</v>
      </c>
      <c r="K320" s="10"/>
      <c r="L320" s="10"/>
      <c r="M320" s="10"/>
      <c r="N320" t="str">
        <f>IFERROR(VLOOKUP(D320, Fornecedores!A:B, 2, FALSE), "")</f>
        <v/>
      </c>
    </row>
    <row r="321" spans="1:14" ht="11.85" customHeight="1" x14ac:dyDescent="0.2">
      <c r="A321" s="8">
        <v>46248</v>
      </c>
      <c r="B321" s="8"/>
      <c r="C321" s="7">
        <v>1020</v>
      </c>
      <c r="D321" s="4">
        <v>5</v>
      </c>
      <c r="E321" s="2">
        <v>145</v>
      </c>
      <c r="G321" s="9">
        <v>0</v>
      </c>
      <c r="H321" s="9"/>
      <c r="J321" s="10" t="s">
        <v>7</v>
      </c>
      <c r="K321" s="10"/>
      <c r="L321" s="10"/>
      <c r="M321" s="10"/>
      <c r="N321" t="str">
        <f>IFERROR(VLOOKUP(D321, Fornecedores!A:B, 2, FALSE), "")</f>
        <v/>
      </c>
    </row>
    <row r="322" spans="1:14" ht="11.85" customHeight="1" x14ac:dyDescent="0.2">
      <c r="A322" s="8">
        <v>46248</v>
      </c>
      <c r="B322" s="8"/>
      <c r="C322" s="7">
        <v>2045</v>
      </c>
      <c r="D322" s="4">
        <v>5</v>
      </c>
      <c r="E322" s="2">
        <v>700</v>
      </c>
      <c r="G322" s="9">
        <v>0</v>
      </c>
      <c r="H322" s="9"/>
      <c r="J322" s="10" t="s">
        <v>7</v>
      </c>
      <c r="K322" s="10"/>
      <c r="L322" s="10"/>
      <c r="M322" s="10"/>
      <c r="N322" t="str">
        <f>IFERROR(VLOOKUP(D322, Fornecedores!A:B, 2, FALSE), "")</f>
        <v/>
      </c>
    </row>
    <row r="323" spans="1:14" ht="11.85" customHeight="1" x14ac:dyDescent="0.2">
      <c r="A323" s="8">
        <v>46248</v>
      </c>
      <c r="B323" s="8"/>
      <c r="C323" s="7">
        <v>1647</v>
      </c>
      <c r="D323" s="4">
        <v>5</v>
      </c>
      <c r="E323" s="2">
        <v>684.7</v>
      </c>
      <c r="G323" s="9">
        <v>0</v>
      </c>
      <c r="H323" s="9"/>
      <c r="J323" s="10" t="s">
        <v>7</v>
      </c>
      <c r="K323" s="10"/>
      <c r="L323" s="10"/>
      <c r="M323" s="10"/>
      <c r="N323" t="str">
        <f>IFERROR(VLOOKUP(D323, Fornecedores!A:B, 2, FALSE), "")</f>
        <v/>
      </c>
    </row>
    <row r="324" spans="1:14" ht="11.85" customHeight="1" x14ac:dyDescent="0.2">
      <c r="A324" s="8">
        <v>46248</v>
      </c>
      <c r="B324" s="8"/>
      <c r="C324" s="7">
        <v>964</v>
      </c>
      <c r="D324" s="4">
        <v>5</v>
      </c>
      <c r="E324" s="2">
        <v>465.35</v>
      </c>
      <c r="G324" s="9">
        <v>0</v>
      </c>
      <c r="H324" s="9"/>
      <c r="J324" s="10" t="s">
        <v>7</v>
      </c>
      <c r="K324" s="10"/>
      <c r="L324" s="10"/>
      <c r="M324" s="10"/>
      <c r="N324" t="str">
        <f>IFERROR(VLOOKUP(D324, Fornecedores!A:B, 2, FALSE), "")</f>
        <v/>
      </c>
    </row>
    <row r="325" spans="1:14" ht="11.85" customHeight="1" x14ac:dyDescent="0.2">
      <c r="A325" s="8">
        <v>46248</v>
      </c>
      <c r="B325" s="8"/>
      <c r="C325" s="7">
        <v>1026</v>
      </c>
      <c r="D325" s="4">
        <v>5</v>
      </c>
      <c r="E325" s="2">
        <v>3247.2</v>
      </c>
      <c r="G325" s="9">
        <v>0</v>
      </c>
      <c r="H325" s="9"/>
      <c r="J325" s="10" t="s">
        <v>7</v>
      </c>
      <c r="K325" s="10"/>
      <c r="L325" s="10"/>
      <c r="M325" s="10"/>
      <c r="N325" t="str">
        <f>IFERROR(VLOOKUP(D325, Fornecedores!A:B, 2, FALSE), "")</f>
        <v/>
      </c>
    </row>
    <row r="326" spans="1:14" ht="11.85" customHeight="1" x14ac:dyDescent="0.2">
      <c r="A326" s="8">
        <v>46248</v>
      </c>
      <c r="B326" s="8"/>
      <c r="C326" s="7">
        <v>1027</v>
      </c>
      <c r="D326" s="4">
        <v>5</v>
      </c>
      <c r="E326" s="2">
        <v>369</v>
      </c>
      <c r="G326" s="9">
        <v>0</v>
      </c>
      <c r="H326" s="9"/>
      <c r="J326" s="10" t="s">
        <v>7</v>
      </c>
      <c r="K326" s="10"/>
      <c r="L326" s="10"/>
      <c r="M326" s="10"/>
      <c r="N326" t="str">
        <f>IFERROR(VLOOKUP(D326, Fornecedores!A:B, 2, FALSE), "")</f>
        <v/>
      </c>
    </row>
    <row r="327" spans="1:14" ht="11.85" customHeight="1" x14ac:dyDescent="0.2">
      <c r="A327" s="8">
        <v>46248</v>
      </c>
      <c r="B327" s="8"/>
      <c r="C327" s="7">
        <v>1026</v>
      </c>
      <c r="D327" s="4">
        <v>5</v>
      </c>
      <c r="E327" s="2">
        <v>3247.2</v>
      </c>
      <c r="G327" s="9">
        <v>0</v>
      </c>
      <c r="H327" s="9"/>
      <c r="J327" s="10" t="s">
        <v>7</v>
      </c>
      <c r="K327" s="10"/>
      <c r="L327" s="10"/>
      <c r="M327" s="10"/>
      <c r="N327" t="str">
        <f>IFERROR(VLOOKUP(D327, Fornecedores!A:B, 2, FALSE), "")</f>
        <v/>
      </c>
    </row>
    <row r="328" spans="1:14" ht="11.85" customHeight="1" x14ac:dyDescent="0.2">
      <c r="A328" s="8">
        <v>46248</v>
      </c>
      <c r="B328" s="8"/>
      <c r="C328" s="7">
        <v>1027</v>
      </c>
      <c r="D328" s="4">
        <v>5</v>
      </c>
      <c r="E328" s="2">
        <v>7675.45</v>
      </c>
      <c r="G328" s="9">
        <v>0</v>
      </c>
      <c r="H328" s="9"/>
      <c r="J328" s="10" t="s">
        <v>7</v>
      </c>
      <c r="K328" s="10"/>
      <c r="L328" s="10"/>
      <c r="M328" s="10"/>
      <c r="N328" t="str">
        <f>IFERROR(VLOOKUP(D328, Fornecedores!A:B, 2, FALSE), "")</f>
        <v/>
      </c>
    </row>
    <row r="329" spans="1:14" ht="11.85" customHeight="1" x14ac:dyDescent="0.2">
      <c r="A329" s="8">
        <v>46248</v>
      </c>
      <c r="B329" s="8"/>
      <c r="D329" s="4">
        <v>512</v>
      </c>
      <c r="E329" s="2">
        <v>923.46</v>
      </c>
      <c r="G329" s="9">
        <v>0</v>
      </c>
      <c r="H329" s="9"/>
      <c r="J329" s="10" t="s">
        <v>7</v>
      </c>
      <c r="K329" s="10"/>
      <c r="L329" s="10"/>
      <c r="M329" s="10"/>
      <c r="N329" t="str">
        <f>IFERROR(VLOOKUP(D329, Fornecedores!A:B, 2, FALSE), "")</f>
        <v>MUNDO DOS FERROS DIST. DE FERROS E ACO LTDA</v>
      </c>
    </row>
    <row r="330" spans="1:14" ht="11.85" customHeight="1" x14ac:dyDescent="0.2">
      <c r="A330" s="8">
        <v>46248</v>
      </c>
      <c r="B330" s="8"/>
      <c r="D330" s="4">
        <v>514</v>
      </c>
      <c r="E330" s="2">
        <v>960</v>
      </c>
      <c r="G330" s="9">
        <v>0</v>
      </c>
      <c r="H330" s="9"/>
      <c r="J330" s="10" t="s">
        <v>7</v>
      </c>
      <c r="K330" s="10"/>
      <c r="L330" s="10"/>
      <c r="M330" s="10"/>
      <c r="N330" t="str">
        <f>IFERROR(VLOOKUP(D330, Fornecedores!A:B, 2, FALSE), "")</f>
        <v>Nova Era Mineracao Ltda</v>
      </c>
    </row>
    <row r="331" spans="1:14" ht="11.85" customHeight="1" x14ac:dyDescent="0.2">
      <c r="A331" s="8">
        <v>46248</v>
      </c>
      <c r="B331" s="8"/>
      <c r="D331" s="4">
        <v>519</v>
      </c>
      <c r="E331" s="2">
        <v>347.8</v>
      </c>
      <c r="G331" s="9">
        <v>0</v>
      </c>
      <c r="H331" s="9"/>
      <c r="J331" s="10" t="s">
        <v>7</v>
      </c>
      <c r="K331" s="10"/>
      <c r="L331" s="10"/>
      <c r="M331" s="10"/>
      <c r="N331" t="str">
        <f>IFERROR(VLOOKUP(D331, Fornecedores!A:B, 2, FALSE), "")</f>
        <v>ENCANEL COM. DE MAT. DE CONST. LTDA</v>
      </c>
    </row>
    <row r="332" spans="1:14" ht="11.85" customHeight="1" x14ac:dyDescent="0.2">
      <c r="A332" s="8">
        <v>46248</v>
      </c>
      <c r="B332" s="8"/>
      <c r="D332" s="4">
        <v>519</v>
      </c>
      <c r="E332" s="2">
        <v>257.52</v>
      </c>
      <c r="G332" s="9">
        <v>0</v>
      </c>
      <c r="H332" s="9"/>
      <c r="J332" s="10" t="s">
        <v>7</v>
      </c>
      <c r="K332" s="10"/>
      <c r="L332" s="10"/>
      <c r="M332" s="10"/>
      <c r="N332" t="str">
        <f>IFERROR(VLOOKUP(D332, Fornecedores!A:B, 2, FALSE), "")</f>
        <v>ENCANEL COM. DE MAT. DE CONST. LTDA</v>
      </c>
    </row>
    <row r="333" spans="1:14" ht="11.85" customHeight="1" x14ac:dyDescent="0.2">
      <c r="A333" s="8">
        <v>46248</v>
      </c>
      <c r="B333" s="8"/>
      <c r="D333" s="4">
        <v>526</v>
      </c>
      <c r="E333" s="2">
        <v>54.6</v>
      </c>
      <c r="G333" s="9">
        <v>0</v>
      </c>
      <c r="H333" s="9"/>
      <c r="J333" s="10" t="s">
        <v>7</v>
      </c>
      <c r="K333" s="10"/>
      <c r="L333" s="10"/>
      <c r="M333" s="10"/>
      <c r="N333" t="str">
        <f>IFERROR(VLOOKUP(D333, Fornecedores!A:B, 2, FALSE), "")</f>
        <v>FERPAM COM. DE FERRAMENTAS PARAFUSOS E MAQUINAS LTDA</v>
      </c>
    </row>
    <row r="334" spans="1:14" ht="11.85" customHeight="1" x14ac:dyDescent="0.2">
      <c r="A334" s="8">
        <v>46248</v>
      </c>
      <c r="B334" s="8"/>
      <c r="D334" s="4">
        <v>526</v>
      </c>
      <c r="E334" s="2">
        <v>193.73</v>
      </c>
      <c r="G334" s="9">
        <v>0</v>
      </c>
      <c r="H334" s="9"/>
      <c r="J334" s="10" t="s">
        <v>7</v>
      </c>
      <c r="K334" s="10"/>
      <c r="L334" s="10"/>
      <c r="M334" s="10"/>
      <c r="N334" t="str">
        <f>IFERROR(VLOOKUP(D334, Fornecedores!A:B, 2, FALSE), "")</f>
        <v>FERPAM COM. DE FERRAMENTAS PARAFUSOS E MAQUINAS LTDA</v>
      </c>
    </row>
    <row r="335" spans="1:14" ht="11.85" customHeight="1" x14ac:dyDescent="0.2">
      <c r="A335" s="8">
        <v>46248</v>
      </c>
      <c r="B335" s="8"/>
      <c r="D335" s="4">
        <v>526</v>
      </c>
      <c r="E335" s="2">
        <v>835.58</v>
      </c>
      <c r="G335" s="9">
        <v>0</v>
      </c>
      <c r="H335" s="9"/>
      <c r="J335" s="10" t="s">
        <v>7</v>
      </c>
      <c r="K335" s="10"/>
      <c r="L335" s="10"/>
      <c r="M335" s="10"/>
      <c r="N335" t="str">
        <f>IFERROR(VLOOKUP(D335, Fornecedores!A:B, 2, FALSE), "")</f>
        <v>FERPAM COM. DE FERRAMENTAS PARAFUSOS E MAQUINAS LTDA</v>
      </c>
    </row>
    <row r="336" spans="1:14" ht="11.85" customHeight="1" x14ac:dyDescent="0.2">
      <c r="A336" s="8">
        <v>46248</v>
      </c>
      <c r="B336" s="8"/>
      <c r="D336" s="4">
        <v>537</v>
      </c>
      <c r="E336" s="2">
        <v>170</v>
      </c>
      <c r="G336" s="9">
        <v>0</v>
      </c>
      <c r="H336" s="9"/>
      <c r="J336" s="10" t="s">
        <v>7</v>
      </c>
      <c r="K336" s="10"/>
      <c r="L336" s="10"/>
      <c r="M336" s="10"/>
      <c r="N336" t="str">
        <f>IFERROR(VLOOKUP(D336, Fornecedores!A:B, 2, FALSE), "")</f>
        <v>ENGSIK IMPERMEABILIZACOES EIRELI - EPP</v>
      </c>
    </row>
    <row r="337" spans="1:14" ht="11.85" customHeight="1" x14ac:dyDescent="0.2">
      <c r="A337" s="8">
        <v>46248</v>
      </c>
      <c r="B337" s="8"/>
      <c r="D337" s="4">
        <v>613</v>
      </c>
      <c r="E337" s="2">
        <v>310</v>
      </c>
      <c r="G337" s="9">
        <v>0</v>
      </c>
      <c r="H337" s="9"/>
      <c r="J337" s="10" t="s">
        <v>7</v>
      </c>
      <c r="K337" s="10"/>
      <c r="L337" s="10"/>
      <c r="M337" s="10"/>
      <c r="N337" t="str">
        <f>IFERROR(VLOOKUP(D337, Fornecedores!A:B, 2, FALSE), "")</f>
        <v>IRMAOS MEURER LTDA</v>
      </c>
    </row>
    <row r="338" spans="1:14" ht="11.85" customHeight="1" x14ac:dyDescent="0.2">
      <c r="A338" s="8">
        <v>46248</v>
      </c>
      <c r="B338" s="8"/>
      <c r="D338" s="4">
        <v>655</v>
      </c>
      <c r="E338" s="2">
        <v>1563.24</v>
      </c>
      <c r="G338" s="9">
        <v>0</v>
      </c>
      <c r="H338" s="9"/>
      <c r="J338" s="10" t="s">
        <v>7</v>
      </c>
      <c r="K338" s="10"/>
      <c r="L338" s="10"/>
      <c r="M338" s="10"/>
      <c r="N338" t="str">
        <f>IFERROR(VLOOKUP(D338, Fornecedores!A:B, 2, FALSE), "")</f>
        <v>DIST. DE FERROS E ACO B-R LTDA</v>
      </c>
    </row>
    <row r="339" spans="1:14" ht="11.85" customHeight="1" x14ac:dyDescent="0.2">
      <c r="A339" s="8">
        <v>46248</v>
      </c>
      <c r="B339" s="8"/>
      <c r="D339" s="4">
        <v>655</v>
      </c>
      <c r="E339" s="2">
        <v>5435.04</v>
      </c>
      <c r="G339" s="9">
        <v>0</v>
      </c>
      <c r="H339" s="9"/>
      <c r="J339" s="10" t="s">
        <v>7</v>
      </c>
      <c r="K339" s="10"/>
      <c r="L339" s="10"/>
      <c r="M339" s="10"/>
      <c r="N339" t="str">
        <f>IFERROR(VLOOKUP(D339, Fornecedores!A:B, 2, FALSE), "")</f>
        <v>DIST. DE FERROS E ACO B-R LTDA</v>
      </c>
    </row>
    <row r="340" spans="1:14" ht="11.85" customHeight="1" x14ac:dyDescent="0.2">
      <c r="A340" s="8">
        <v>46248</v>
      </c>
      <c r="B340" s="8"/>
      <c r="D340" s="4">
        <v>1393</v>
      </c>
      <c r="E340" s="2">
        <v>93.54</v>
      </c>
      <c r="G340" s="9">
        <v>0</v>
      </c>
      <c r="H340" s="9"/>
      <c r="J340" s="10" t="s">
        <v>7</v>
      </c>
      <c r="K340" s="10"/>
      <c r="L340" s="10"/>
      <c r="M340" s="10"/>
      <c r="N340" t="str">
        <f>IFERROR(VLOOKUP(D340, Fornecedores!A:B, 2, FALSE), "")</f>
        <v>FERPAM COMERCIO DE BORRACHAS LTDA</v>
      </c>
    </row>
    <row r="341" spans="1:14" ht="11.85" customHeight="1" x14ac:dyDescent="0.2">
      <c r="A341" s="8">
        <v>46248</v>
      </c>
      <c r="B341" s="8"/>
      <c r="D341" s="4">
        <v>1433</v>
      </c>
      <c r="E341" s="2">
        <v>1600</v>
      </c>
      <c r="G341" s="9">
        <v>0</v>
      </c>
      <c r="H341" s="9"/>
      <c r="J341" s="10" t="s">
        <v>7</v>
      </c>
      <c r="K341" s="10"/>
      <c r="L341" s="10"/>
      <c r="M341" s="10"/>
      <c r="N341" t="str">
        <f>IFERROR(VLOOKUP(D341, Fornecedores!A:B, 2, FALSE), "")</f>
        <v>Construpiso Com. de materiais p/ constr. LTDA-EPP</v>
      </c>
    </row>
    <row r="342" spans="1:14" ht="11.85" customHeight="1" x14ac:dyDescent="0.2">
      <c r="A342" s="8">
        <v>46248</v>
      </c>
      <c r="B342" s="8"/>
      <c r="D342" s="4">
        <v>1593</v>
      </c>
      <c r="E342" s="2">
        <v>1200</v>
      </c>
      <c r="G342" s="9">
        <v>0</v>
      </c>
      <c r="H342" s="9"/>
      <c r="J342" s="10" t="s">
        <v>7</v>
      </c>
      <c r="K342" s="10"/>
      <c r="L342" s="10"/>
      <c r="M342" s="10"/>
      <c r="N342" t="str">
        <f>IFERROR(VLOOKUP(D342, Fornecedores!A:B, 2, FALSE), "")</f>
        <v>C RUBIN TRANSPORTES LTDA</v>
      </c>
    </row>
    <row r="343" spans="1:14" ht="11.85" customHeight="1" x14ac:dyDescent="0.2">
      <c r="A343" s="8">
        <v>46248</v>
      </c>
      <c r="B343" s="8"/>
      <c r="D343" s="4">
        <v>2202</v>
      </c>
      <c r="E343" s="2">
        <v>180</v>
      </c>
      <c r="G343" s="9">
        <v>0</v>
      </c>
      <c r="H343" s="9"/>
      <c r="J343" s="10" t="s">
        <v>7</v>
      </c>
      <c r="K343" s="10"/>
      <c r="L343" s="10"/>
      <c r="M343" s="10"/>
      <c r="N343" t="str">
        <f>IFERROR(VLOOKUP(D343, Fornecedores!A:B, 2, FALSE), "")</f>
        <v>J COELHO MODESTO LTDA ME</v>
      </c>
    </row>
    <row r="344" spans="1:14" ht="11.85" customHeight="1" x14ac:dyDescent="0.2">
      <c r="A344" s="8">
        <v>46249</v>
      </c>
      <c r="B344" s="8"/>
      <c r="C344" s="7">
        <v>1020</v>
      </c>
      <c r="D344" s="4">
        <v>5</v>
      </c>
      <c r="E344" s="2">
        <v>20</v>
      </c>
      <c r="G344" s="9">
        <v>0</v>
      </c>
      <c r="H344" s="9"/>
      <c r="J344" s="10" t="s">
        <v>7</v>
      </c>
      <c r="K344" s="10"/>
      <c r="L344" s="10"/>
      <c r="M344" s="10"/>
      <c r="N344" t="str">
        <f>IFERROR(VLOOKUP(D344, Fornecedores!A:B, 2, FALSE), "")</f>
        <v/>
      </c>
    </row>
    <row r="345" spans="1:14" ht="11.85" customHeight="1" x14ac:dyDescent="0.2">
      <c r="A345" s="8">
        <v>46249</v>
      </c>
      <c r="B345" s="8"/>
      <c r="C345" s="7">
        <v>1021</v>
      </c>
      <c r="D345" s="4">
        <v>5</v>
      </c>
      <c r="E345" s="2">
        <v>117</v>
      </c>
      <c r="G345" s="9">
        <v>0</v>
      </c>
      <c r="H345" s="9"/>
      <c r="J345" s="10" t="s">
        <v>7</v>
      </c>
      <c r="K345" s="10"/>
      <c r="L345" s="10"/>
      <c r="M345" s="10"/>
      <c r="N345" t="str">
        <f>IFERROR(VLOOKUP(D345, Fornecedores!A:B, 2, FALSE), "")</f>
        <v/>
      </c>
    </row>
    <row r="346" spans="1:14" ht="11.85" customHeight="1" x14ac:dyDescent="0.2">
      <c r="A346" s="8">
        <v>46249</v>
      </c>
      <c r="B346" s="8"/>
      <c r="D346" s="4">
        <v>526</v>
      </c>
      <c r="E346" s="2">
        <v>1851.85</v>
      </c>
      <c r="G346" s="9">
        <v>0</v>
      </c>
      <c r="H346" s="9"/>
      <c r="J346" s="10" t="s">
        <v>7</v>
      </c>
      <c r="K346" s="10"/>
      <c r="L346" s="10"/>
      <c r="M346" s="10"/>
      <c r="N346" t="str">
        <f>IFERROR(VLOOKUP(D346, Fornecedores!A:B, 2, FALSE), "")</f>
        <v>FERPAM COM. DE FERRAMENTAS PARAFUSOS E MAQUINAS LTDA</v>
      </c>
    </row>
    <row r="347" spans="1:14" ht="11.85" customHeight="1" x14ac:dyDescent="0.2">
      <c r="A347" s="8">
        <v>46249</v>
      </c>
      <c r="B347" s="8"/>
      <c r="D347" s="4">
        <v>526</v>
      </c>
      <c r="E347" s="2">
        <v>280.76</v>
      </c>
      <c r="G347" s="9">
        <v>0</v>
      </c>
      <c r="H347" s="9"/>
      <c r="J347" s="10" t="s">
        <v>7</v>
      </c>
      <c r="K347" s="10"/>
      <c r="L347" s="10"/>
      <c r="M347" s="10"/>
      <c r="N347" t="str">
        <f>IFERROR(VLOOKUP(D347, Fornecedores!A:B, 2, FALSE), "")</f>
        <v>FERPAM COM. DE FERRAMENTAS PARAFUSOS E MAQUINAS LTDA</v>
      </c>
    </row>
    <row r="348" spans="1:14" ht="11.85" customHeight="1" x14ac:dyDescent="0.2">
      <c r="A348" s="8">
        <v>46249</v>
      </c>
      <c r="B348" s="8"/>
      <c r="D348" s="4">
        <v>526</v>
      </c>
      <c r="E348" s="2">
        <v>95.29</v>
      </c>
      <c r="G348" s="9">
        <v>0</v>
      </c>
      <c r="H348" s="9"/>
      <c r="J348" s="10" t="s">
        <v>7</v>
      </c>
      <c r="K348" s="10"/>
      <c r="L348" s="10"/>
      <c r="M348" s="10"/>
      <c r="N348" t="str">
        <f>IFERROR(VLOOKUP(D348, Fornecedores!A:B, 2, FALSE), "")</f>
        <v>FERPAM COM. DE FERRAMENTAS PARAFUSOS E MAQUINAS LTDA</v>
      </c>
    </row>
    <row r="349" spans="1:14" ht="11.85" customHeight="1" x14ac:dyDescent="0.2">
      <c r="A349" s="8">
        <v>46249</v>
      </c>
      <c r="B349" s="8"/>
      <c r="D349" s="4">
        <v>1295</v>
      </c>
      <c r="E349" s="2">
        <v>3133</v>
      </c>
      <c r="G349" s="9">
        <v>0</v>
      </c>
      <c r="H349" s="9"/>
      <c r="J349" s="10" t="s">
        <v>7</v>
      </c>
      <c r="K349" s="10"/>
      <c r="L349" s="10"/>
      <c r="M349" s="10"/>
      <c r="N349" t="str">
        <f>IFERROR(VLOOKUP(D349, Fornecedores!A:B, 2, FALSE), "")</f>
        <v>DIVIPLACAS COMERCIO E SERVICOS DE DIVISORIAS LTDA</v>
      </c>
    </row>
    <row r="350" spans="1:14" ht="11.85" customHeight="1" x14ac:dyDescent="0.2">
      <c r="A350" s="8">
        <v>46249</v>
      </c>
      <c r="B350" s="8"/>
      <c r="D350" s="4">
        <v>1295</v>
      </c>
      <c r="E350" s="2">
        <v>1186.9000000000001</v>
      </c>
      <c r="G350" s="9">
        <v>0</v>
      </c>
      <c r="H350" s="9"/>
      <c r="J350" s="10" t="s">
        <v>7</v>
      </c>
      <c r="K350" s="10"/>
      <c r="L350" s="10"/>
      <c r="M350" s="10"/>
      <c r="N350" t="str">
        <f>IFERROR(VLOOKUP(D350, Fornecedores!A:B, 2, FALSE), "")</f>
        <v>DIVIPLACAS COMERCIO E SERVICOS DE DIVISORIAS LTDA</v>
      </c>
    </row>
    <row r="351" spans="1:14" ht="11.85" customHeight="1" x14ac:dyDescent="0.2">
      <c r="A351" s="8">
        <v>46251</v>
      </c>
      <c r="B351" s="8"/>
      <c r="C351" s="7">
        <v>1021</v>
      </c>
      <c r="D351" s="4">
        <v>5</v>
      </c>
      <c r="E351" s="2">
        <v>1918.1</v>
      </c>
      <c r="G351" s="9">
        <v>0</v>
      </c>
      <c r="H351" s="9"/>
      <c r="J351" s="10" t="s">
        <v>7</v>
      </c>
      <c r="K351" s="10"/>
      <c r="L351" s="10"/>
      <c r="M351" s="10"/>
      <c r="N351" t="str">
        <f>IFERROR(VLOOKUP(D351, Fornecedores!A:B, 2, FALSE), "")</f>
        <v/>
      </c>
    </row>
    <row r="352" spans="1:14" ht="11.85" customHeight="1" x14ac:dyDescent="0.2">
      <c r="A352" s="8">
        <v>46251</v>
      </c>
      <c r="B352" s="8"/>
      <c r="C352" s="7">
        <v>1021</v>
      </c>
      <c r="D352" s="4">
        <v>5</v>
      </c>
      <c r="E352" s="2">
        <v>131.9</v>
      </c>
      <c r="G352" s="9">
        <v>0</v>
      </c>
      <c r="H352" s="9"/>
      <c r="J352" s="10" t="s">
        <v>7</v>
      </c>
      <c r="K352" s="10"/>
      <c r="L352" s="10"/>
      <c r="M352" s="10"/>
      <c r="N352" t="str">
        <f>IFERROR(VLOOKUP(D352, Fornecedores!A:B, 2, FALSE), "")</f>
        <v/>
      </c>
    </row>
    <row r="353" spans="1:14" ht="11.85" customHeight="1" x14ac:dyDescent="0.2">
      <c r="A353" s="8">
        <v>46251</v>
      </c>
      <c r="B353" s="8"/>
      <c r="C353" s="7">
        <v>1021</v>
      </c>
      <c r="D353" s="4">
        <v>5</v>
      </c>
      <c r="E353" s="2">
        <v>31.8</v>
      </c>
      <c r="G353" s="9">
        <v>0</v>
      </c>
      <c r="H353" s="9"/>
      <c r="J353" s="10" t="s">
        <v>7</v>
      </c>
      <c r="K353" s="10"/>
      <c r="L353" s="10"/>
      <c r="M353" s="10"/>
      <c r="N353" t="str">
        <f>IFERROR(VLOOKUP(D353, Fornecedores!A:B, 2, FALSE), "")</f>
        <v/>
      </c>
    </row>
    <row r="354" spans="1:14" ht="11.85" customHeight="1" x14ac:dyDescent="0.2">
      <c r="A354" s="8">
        <v>46251</v>
      </c>
      <c r="B354" s="8"/>
      <c r="C354" s="7">
        <v>1021</v>
      </c>
      <c r="D354" s="4">
        <v>5</v>
      </c>
      <c r="E354" s="2">
        <v>20.2</v>
      </c>
      <c r="G354" s="9">
        <v>0</v>
      </c>
      <c r="H354" s="9"/>
      <c r="J354" s="10" t="s">
        <v>7</v>
      </c>
      <c r="K354" s="10"/>
      <c r="L354" s="10"/>
      <c r="M354" s="10"/>
      <c r="N354" t="str">
        <f>IFERROR(VLOOKUP(D354, Fornecedores!A:B, 2, FALSE), "")</f>
        <v/>
      </c>
    </row>
    <row r="355" spans="1:14" ht="11.85" customHeight="1" x14ac:dyDescent="0.2">
      <c r="A355" s="8">
        <v>46251</v>
      </c>
      <c r="B355" s="8"/>
      <c r="C355" s="7">
        <v>1021</v>
      </c>
      <c r="D355" s="4">
        <v>5</v>
      </c>
      <c r="E355" s="2">
        <v>10.5</v>
      </c>
      <c r="G355" s="9">
        <v>0</v>
      </c>
      <c r="H355" s="9"/>
      <c r="J355" s="10" t="s">
        <v>7</v>
      </c>
      <c r="K355" s="10"/>
      <c r="L355" s="10"/>
      <c r="M355" s="10"/>
      <c r="N355" t="str">
        <f>IFERROR(VLOOKUP(D355, Fornecedores!A:B, 2, FALSE), "")</f>
        <v/>
      </c>
    </row>
    <row r="356" spans="1:14" ht="11.85" customHeight="1" x14ac:dyDescent="0.2">
      <c r="A356" s="8">
        <v>46251</v>
      </c>
      <c r="B356" s="8"/>
      <c r="C356" s="7">
        <v>1021</v>
      </c>
      <c r="D356" s="4">
        <v>5</v>
      </c>
      <c r="E356" s="2">
        <v>26.5</v>
      </c>
      <c r="G356" s="9">
        <v>0</v>
      </c>
      <c r="H356" s="9"/>
      <c r="J356" s="10" t="s">
        <v>7</v>
      </c>
      <c r="K356" s="10"/>
      <c r="L356" s="10"/>
      <c r="M356" s="10"/>
      <c r="N356" t="str">
        <f>IFERROR(VLOOKUP(D356, Fornecedores!A:B, 2, FALSE), "")</f>
        <v/>
      </c>
    </row>
    <row r="357" spans="1:14" ht="11.85" customHeight="1" x14ac:dyDescent="0.2">
      <c r="A357" s="8">
        <v>46251</v>
      </c>
      <c r="B357" s="8"/>
      <c r="C357" s="7">
        <v>1021</v>
      </c>
      <c r="D357" s="4">
        <v>5</v>
      </c>
      <c r="E357" s="2">
        <v>59</v>
      </c>
      <c r="G357" s="9">
        <v>0</v>
      </c>
      <c r="H357" s="9"/>
      <c r="J357" s="10" t="s">
        <v>7</v>
      </c>
      <c r="K357" s="10"/>
      <c r="L357" s="10"/>
      <c r="M357" s="10"/>
      <c r="N357" t="str">
        <f>IFERROR(VLOOKUP(D357, Fornecedores!A:B, 2, FALSE), "")</f>
        <v/>
      </c>
    </row>
    <row r="358" spans="1:14" ht="11.85" customHeight="1" x14ac:dyDescent="0.2">
      <c r="A358" s="8">
        <v>46251</v>
      </c>
      <c r="B358" s="8"/>
      <c r="C358" s="7">
        <v>1021</v>
      </c>
      <c r="D358" s="4">
        <v>5</v>
      </c>
      <c r="E358" s="2">
        <v>88</v>
      </c>
      <c r="G358" s="9">
        <v>0</v>
      </c>
      <c r="H358" s="9"/>
      <c r="J358" s="10" t="s">
        <v>7</v>
      </c>
      <c r="K358" s="10"/>
      <c r="L358" s="10"/>
      <c r="M358" s="10"/>
      <c r="N358" t="str">
        <f>IFERROR(VLOOKUP(D358, Fornecedores!A:B, 2, FALSE), "")</f>
        <v/>
      </c>
    </row>
    <row r="359" spans="1:14" ht="11.85" customHeight="1" x14ac:dyDescent="0.2">
      <c r="A359" s="8">
        <v>46251</v>
      </c>
      <c r="B359" s="8"/>
      <c r="C359" s="7">
        <v>2050</v>
      </c>
      <c r="D359" s="4">
        <v>5</v>
      </c>
      <c r="E359" s="2">
        <v>140</v>
      </c>
      <c r="G359" s="9">
        <v>0</v>
      </c>
      <c r="H359" s="9"/>
      <c r="J359" s="10" t="s">
        <v>7</v>
      </c>
      <c r="K359" s="10"/>
      <c r="L359" s="10"/>
      <c r="M359" s="10"/>
      <c r="N359" t="str">
        <f>IFERROR(VLOOKUP(D359, Fornecedores!A:B, 2, FALSE), "")</f>
        <v/>
      </c>
    </row>
    <row r="360" spans="1:14" ht="11.85" customHeight="1" x14ac:dyDescent="0.2">
      <c r="A360" s="8">
        <v>46251</v>
      </c>
      <c r="B360" s="8"/>
      <c r="C360" s="7">
        <v>1688</v>
      </c>
      <c r="D360" s="4">
        <v>5</v>
      </c>
      <c r="E360" s="2">
        <v>1242</v>
      </c>
      <c r="G360" s="9">
        <v>0</v>
      </c>
      <c r="H360" s="9"/>
      <c r="J360" s="10" t="s">
        <v>7</v>
      </c>
      <c r="K360" s="10"/>
      <c r="L360" s="10"/>
      <c r="M360" s="10"/>
      <c r="N360" t="str">
        <f>IFERROR(VLOOKUP(D360, Fornecedores!A:B, 2, FALSE), "")</f>
        <v/>
      </c>
    </row>
    <row r="361" spans="1:14" ht="11.85" customHeight="1" x14ac:dyDescent="0.2">
      <c r="A361" s="8">
        <v>46251</v>
      </c>
      <c r="B361" s="8"/>
      <c r="C361" s="7">
        <v>1767</v>
      </c>
      <c r="D361" s="4">
        <v>5</v>
      </c>
      <c r="E361" s="2">
        <v>675</v>
      </c>
      <c r="G361" s="9">
        <v>0</v>
      </c>
      <c r="H361" s="9"/>
      <c r="J361" s="10" t="s">
        <v>7</v>
      </c>
      <c r="K361" s="10"/>
      <c r="L361" s="10"/>
      <c r="M361" s="10"/>
      <c r="N361" t="str">
        <f>IFERROR(VLOOKUP(D361, Fornecedores!A:B, 2, FALSE), "")</f>
        <v/>
      </c>
    </row>
    <row r="362" spans="1:14" ht="11.85" customHeight="1" x14ac:dyDescent="0.2">
      <c r="A362" s="8">
        <v>46251</v>
      </c>
      <c r="B362" s="8"/>
      <c r="C362" s="7">
        <v>1688</v>
      </c>
      <c r="D362" s="4">
        <v>5</v>
      </c>
      <c r="E362" s="2">
        <v>725</v>
      </c>
      <c r="G362" s="9">
        <v>0</v>
      </c>
      <c r="H362" s="9"/>
      <c r="J362" s="10" t="s">
        <v>7</v>
      </c>
      <c r="K362" s="10"/>
      <c r="L362" s="10"/>
      <c r="M362" s="10"/>
      <c r="N362" t="str">
        <f>IFERROR(VLOOKUP(D362, Fornecedores!A:B, 2, FALSE), "")</f>
        <v/>
      </c>
    </row>
    <row r="363" spans="1:14" ht="11.85" customHeight="1" x14ac:dyDescent="0.2">
      <c r="A363" s="8">
        <v>46251</v>
      </c>
      <c r="B363" s="8"/>
      <c r="C363" s="7">
        <v>272</v>
      </c>
      <c r="D363" s="4">
        <v>5</v>
      </c>
      <c r="E363" s="2">
        <v>16825.82</v>
      </c>
      <c r="G363" s="9">
        <v>0</v>
      </c>
      <c r="H363" s="9"/>
      <c r="J363" s="10" t="s">
        <v>7</v>
      </c>
      <c r="K363" s="10"/>
      <c r="L363" s="10"/>
      <c r="M363" s="10"/>
      <c r="N363" t="str">
        <f>IFERROR(VLOOKUP(D363, Fornecedores!A:B, 2, FALSE), "")</f>
        <v/>
      </c>
    </row>
    <row r="364" spans="1:14" ht="11.85" customHeight="1" x14ac:dyDescent="0.2">
      <c r="A364" s="8">
        <v>46251</v>
      </c>
      <c r="B364" s="8"/>
      <c r="D364" s="4">
        <v>514</v>
      </c>
      <c r="E364" s="2">
        <v>600</v>
      </c>
      <c r="G364" s="9">
        <v>0</v>
      </c>
      <c r="H364" s="9"/>
      <c r="J364" s="10" t="s">
        <v>7</v>
      </c>
      <c r="K364" s="10"/>
      <c r="L364" s="10"/>
      <c r="M364" s="10"/>
      <c r="N364" t="str">
        <f>IFERROR(VLOOKUP(#REF!, Fornecedores!A:B, 2, FALSE), "")</f>
        <v/>
      </c>
    </row>
    <row r="365" spans="1:14" ht="11.85" customHeight="1" x14ac:dyDescent="0.2">
      <c r="A365" s="8">
        <v>46251</v>
      </c>
      <c r="B365" s="8"/>
      <c r="D365" s="4">
        <v>514</v>
      </c>
      <c r="E365" s="2">
        <v>1200</v>
      </c>
      <c r="G365" s="9">
        <v>0</v>
      </c>
      <c r="H365" s="9"/>
      <c r="J365" s="10" t="s">
        <v>7</v>
      </c>
      <c r="K365" s="10"/>
      <c r="L365" s="10"/>
      <c r="M365" s="10"/>
      <c r="N365" t="str">
        <f>IFERROR(VLOOKUP(#REF!, Fornecedores!A:B, 2, FALSE), "")</f>
        <v/>
      </c>
    </row>
    <row r="366" spans="1:14" ht="11.85" customHeight="1" x14ac:dyDescent="0.2">
      <c r="A366" s="8">
        <v>46251</v>
      </c>
      <c r="B366" s="8"/>
      <c r="D366" s="4">
        <v>514</v>
      </c>
      <c r="E366" s="2">
        <v>1200</v>
      </c>
      <c r="G366" s="9">
        <v>0</v>
      </c>
      <c r="H366" s="9"/>
      <c r="J366" s="10" t="s">
        <v>7</v>
      </c>
      <c r="K366" s="10"/>
      <c r="L366" s="10"/>
      <c r="M366" s="10"/>
      <c r="N366" t="str">
        <f>IFERROR(VLOOKUP(#REF!, Fornecedores!A:B, 2, FALSE), "")</f>
        <v/>
      </c>
    </row>
    <row r="367" spans="1:14" ht="11.85" customHeight="1" x14ac:dyDescent="0.2">
      <c r="A367" s="8">
        <v>46251</v>
      </c>
      <c r="B367" s="8"/>
      <c r="D367" s="4">
        <v>514</v>
      </c>
      <c r="E367" s="2">
        <v>1200</v>
      </c>
      <c r="G367" s="9">
        <v>0</v>
      </c>
      <c r="H367" s="9"/>
      <c r="J367" s="10" t="s">
        <v>7</v>
      </c>
      <c r="K367" s="10"/>
      <c r="L367" s="10"/>
      <c r="M367" s="10"/>
      <c r="N367" t="str">
        <f>IFERROR(VLOOKUP(#REF!, Fornecedores!A:B, 2, FALSE), "")</f>
        <v/>
      </c>
    </row>
    <row r="368" spans="1:14" ht="11.85" customHeight="1" x14ac:dyDescent="0.2">
      <c r="A368" s="8">
        <v>46251</v>
      </c>
      <c r="B368" s="8"/>
      <c r="D368" s="4">
        <v>520</v>
      </c>
      <c r="E368" s="2">
        <v>129.9</v>
      </c>
      <c r="G368" s="9">
        <v>0</v>
      </c>
      <c r="H368" s="9"/>
      <c r="J368" s="10" t="s">
        <v>7</v>
      </c>
      <c r="K368" s="10"/>
      <c r="L368" s="10"/>
      <c r="M368" s="10"/>
      <c r="N368" t="str">
        <f>IFERROR(VLOOKUP(#REF!, Fornecedores!A:B, 2, FALSE), "")</f>
        <v/>
      </c>
    </row>
    <row r="369" spans="1:14" ht="11.85" customHeight="1" x14ac:dyDescent="0.2">
      <c r="A369" s="8">
        <v>46251</v>
      </c>
      <c r="B369" s="8"/>
      <c r="D369" s="4">
        <v>520</v>
      </c>
      <c r="E369" s="2">
        <v>317.62</v>
      </c>
      <c r="G369" s="9">
        <v>0</v>
      </c>
      <c r="H369" s="9"/>
      <c r="J369" s="10" t="s">
        <v>7</v>
      </c>
      <c r="K369" s="10"/>
      <c r="L369" s="10"/>
      <c r="M369" s="10"/>
      <c r="N369" t="str">
        <f>IFERROR(VLOOKUP(#REF!, Fornecedores!A:B, 2, FALSE), "")</f>
        <v/>
      </c>
    </row>
    <row r="370" spans="1:14" ht="11.85" customHeight="1" x14ac:dyDescent="0.2">
      <c r="A370" s="8">
        <v>46251</v>
      </c>
      <c r="B370" s="8"/>
      <c r="D370" s="4">
        <v>526</v>
      </c>
      <c r="E370" s="2">
        <v>1295.75</v>
      </c>
      <c r="G370" s="9">
        <v>0</v>
      </c>
      <c r="H370" s="9"/>
      <c r="J370" s="10" t="s">
        <v>7</v>
      </c>
      <c r="K370" s="10"/>
      <c r="L370" s="10"/>
      <c r="M370" s="10"/>
      <c r="N370" t="str">
        <f>IFERROR(VLOOKUP(#REF!, Fornecedores!A:B, 2, FALSE), "")</f>
        <v/>
      </c>
    </row>
    <row r="371" spans="1:14" ht="11.85" customHeight="1" x14ac:dyDescent="0.2">
      <c r="A371" s="8">
        <v>46251</v>
      </c>
      <c r="B371" s="8"/>
      <c r="D371" s="4">
        <v>526</v>
      </c>
      <c r="E371" s="2">
        <v>683.76</v>
      </c>
      <c r="G371" s="9">
        <v>0</v>
      </c>
      <c r="H371" s="9"/>
      <c r="J371" s="10" t="s">
        <v>7</v>
      </c>
      <c r="K371" s="10"/>
      <c r="L371" s="10"/>
      <c r="M371" s="10"/>
      <c r="N371" t="str">
        <f>IFERROR(VLOOKUP(#REF!, Fornecedores!A:B, 2, FALSE), "")</f>
        <v/>
      </c>
    </row>
    <row r="372" spans="1:14" ht="11.85" customHeight="1" x14ac:dyDescent="0.2">
      <c r="A372" s="8">
        <v>46251</v>
      </c>
      <c r="B372" s="8"/>
      <c r="D372" s="4">
        <v>528</v>
      </c>
      <c r="E372" s="2">
        <v>45200</v>
      </c>
      <c r="G372" s="9">
        <v>0</v>
      </c>
      <c r="H372" s="9"/>
      <c r="J372" s="10" t="s">
        <v>7</v>
      </c>
      <c r="K372" s="10"/>
      <c r="L372" s="10"/>
      <c r="M372" s="10"/>
      <c r="N372" t="str">
        <f>IFERROR(VLOOKUP(#REF!, Fornecedores!A:B, 2, FALSE), "")</f>
        <v/>
      </c>
    </row>
    <row r="373" spans="1:14" ht="11.85" customHeight="1" x14ac:dyDescent="0.2">
      <c r="A373" s="8">
        <v>46251</v>
      </c>
      <c r="B373" s="8"/>
      <c r="C373">
        <v>1027</v>
      </c>
      <c r="D373" s="4">
        <v>550</v>
      </c>
      <c r="E373" s="2">
        <v>129.80000000000001</v>
      </c>
      <c r="G373" s="9">
        <v>0</v>
      </c>
      <c r="H373" s="9"/>
      <c r="J373" s="10" t="s">
        <v>7</v>
      </c>
      <c r="K373" s="10"/>
      <c r="L373" s="10"/>
      <c r="M373" s="10"/>
      <c r="N373" t="str">
        <f>IFERROR(VLOOKUP(#REF!, Fornecedores!A:B, 2, FALSE), "")</f>
        <v/>
      </c>
    </row>
    <row r="374" spans="1:14" ht="11.85" customHeight="1" x14ac:dyDescent="0.2">
      <c r="A374" s="8">
        <v>46251</v>
      </c>
      <c r="B374" s="8"/>
      <c r="D374" s="4">
        <v>613</v>
      </c>
      <c r="E374" s="2">
        <v>222.9</v>
      </c>
      <c r="G374" s="9">
        <v>0</v>
      </c>
      <c r="H374" s="9"/>
      <c r="J374" s="10" t="s">
        <v>7</v>
      </c>
      <c r="K374" s="10"/>
      <c r="L374" s="10"/>
      <c r="M374" s="10"/>
      <c r="N374" t="str">
        <f>IFERROR(VLOOKUP(#REF!, Fornecedores!A:B, 2, FALSE), "")</f>
        <v/>
      </c>
    </row>
    <row r="375" spans="1:14" ht="11.85" customHeight="1" x14ac:dyDescent="0.2">
      <c r="A375" s="8">
        <v>46251</v>
      </c>
      <c r="B375" s="8"/>
      <c r="D375" s="4">
        <v>1307</v>
      </c>
      <c r="E375" s="2">
        <v>1440</v>
      </c>
      <c r="G375" s="9">
        <v>0</v>
      </c>
      <c r="H375" s="9"/>
      <c r="J375" s="10" t="s">
        <v>7</v>
      </c>
      <c r="K375" s="10"/>
      <c r="L375" s="10"/>
      <c r="M375" s="10"/>
      <c r="N375" t="str">
        <f>IFERROR(VLOOKUP(#REF!, Fornecedores!A:B, 2, FALSE), "")</f>
        <v/>
      </c>
    </row>
    <row r="376" spans="1:14" ht="11.85" customHeight="1" x14ac:dyDescent="0.2">
      <c r="A376" s="8">
        <v>46251</v>
      </c>
      <c r="B376" s="8"/>
      <c r="D376" s="4">
        <v>1337</v>
      </c>
      <c r="E376" s="2">
        <v>6072</v>
      </c>
      <c r="G376" s="9">
        <v>0</v>
      </c>
      <c r="H376" s="9"/>
      <c r="J376" s="10" t="s">
        <v>7</v>
      </c>
      <c r="K376" s="10"/>
      <c r="L376" s="10"/>
      <c r="M376" s="10"/>
      <c r="N376" t="str">
        <f>IFERROR(VLOOKUP(#REF!, Fornecedores!A:B, 2, FALSE), "")</f>
        <v/>
      </c>
    </row>
    <row r="377" spans="1:14" ht="11.85" customHeight="1" x14ac:dyDescent="0.2">
      <c r="A377" s="8">
        <v>46251</v>
      </c>
      <c r="B377" s="8"/>
      <c r="D377" s="4">
        <v>1337</v>
      </c>
      <c r="E377" s="2">
        <v>6072</v>
      </c>
      <c r="G377" s="9">
        <v>0</v>
      </c>
      <c r="H377" s="9"/>
      <c r="J377" s="10" t="s">
        <v>7</v>
      </c>
      <c r="K377" s="10"/>
      <c r="L377" s="10"/>
      <c r="M377" s="10"/>
      <c r="N377" t="str">
        <f>IFERROR(VLOOKUP(#REF!, Fornecedores!A:B, 2, FALSE), "")</f>
        <v/>
      </c>
    </row>
    <row r="378" spans="1:14" ht="11.85" customHeight="1" x14ac:dyDescent="0.2">
      <c r="A378" s="8">
        <v>46251</v>
      </c>
      <c r="B378" s="8"/>
      <c r="D378" s="4">
        <v>1337</v>
      </c>
      <c r="E378" s="2">
        <v>1656</v>
      </c>
      <c r="G378" s="9">
        <v>0</v>
      </c>
      <c r="H378" s="9"/>
      <c r="J378" s="10" t="s">
        <v>7</v>
      </c>
      <c r="K378" s="10"/>
      <c r="L378" s="10"/>
      <c r="M378" s="10"/>
      <c r="N378" t="str">
        <f>IFERROR(VLOOKUP(#REF!, Fornecedores!A:B, 2, FALSE), "")</f>
        <v/>
      </c>
    </row>
    <row r="379" spans="1:14" ht="11.85" customHeight="1" x14ac:dyDescent="0.2">
      <c r="A379" s="8">
        <v>46251</v>
      </c>
      <c r="B379" s="8"/>
      <c r="D379" s="4">
        <v>1376</v>
      </c>
      <c r="E379" s="2">
        <v>3735</v>
      </c>
      <c r="G379" s="9">
        <v>0</v>
      </c>
      <c r="H379" s="9"/>
      <c r="J379" s="10" t="s">
        <v>7</v>
      </c>
      <c r="K379" s="10"/>
      <c r="L379" s="10"/>
      <c r="M379" s="10"/>
      <c r="N379" t="str">
        <f>IFERROR(VLOOKUP(#REF!, Fornecedores!A:B, 2, FALSE), "")</f>
        <v/>
      </c>
    </row>
    <row r="380" spans="1:14" ht="11.85" customHeight="1" x14ac:dyDescent="0.2">
      <c r="A380" s="8">
        <v>46251</v>
      </c>
      <c r="B380" s="8"/>
      <c r="D380" s="4">
        <v>1376</v>
      </c>
      <c r="E380" s="2">
        <v>354.21</v>
      </c>
      <c r="G380" s="9">
        <v>0</v>
      </c>
      <c r="H380" s="9"/>
      <c r="J380" s="10" t="s">
        <v>7</v>
      </c>
      <c r="K380" s="10"/>
      <c r="L380" s="10"/>
      <c r="M380" s="10"/>
      <c r="N380" t="str">
        <f>IFERROR(VLOOKUP(#REF!, Fornecedores!A:B, 2, FALSE), "")</f>
        <v/>
      </c>
    </row>
    <row r="381" spans="1:14" ht="11.85" customHeight="1" x14ac:dyDescent="0.2">
      <c r="A381" s="8">
        <v>46251</v>
      </c>
      <c r="B381" s="8"/>
      <c r="D381" s="4">
        <v>1376</v>
      </c>
      <c r="E381" s="2">
        <v>540.70000000000005</v>
      </c>
      <c r="G381" s="9">
        <v>0</v>
      </c>
      <c r="H381" s="9"/>
      <c r="J381" s="10" t="s">
        <v>7</v>
      </c>
      <c r="K381" s="10"/>
      <c r="L381" s="10"/>
      <c r="M381" s="10"/>
      <c r="N381" t="str">
        <f>IFERROR(VLOOKUP(#REF!, Fornecedores!A:B, 2, FALSE), "")</f>
        <v/>
      </c>
    </row>
    <row r="382" spans="1:14" ht="11.85" customHeight="1" x14ac:dyDescent="0.2">
      <c r="A382" s="8">
        <v>46251</v>
      </c>
      <c r="B382" s="8"/>
      <c r="D382" s="4">
        <v>1433</v>
      </c>
      <c r="E382" s="2">
        <v>119.6</v>
      </c>
      <c r="G382" s="9">
        <v>0</v>
      </c>
      <c r="H382" s="9"/>
      <c r="J382" s="10" t="s">
        <v>7</v>
      </c>
      <c r="K382" s="10"/>
      <c r="L382" s="10"/>
      <c r="M382" s="10"/>
      <c r="N382" t="str">
        <f>IFERROR(VLOOKUP(#REF!, Fornecedores!A:B, 2, FALSE), "")</f>
        <v/>
      </c>
    </row>
    <row r="383" spans="1:14" ht="11.85" customHeight="1" x14ac:dyDescent="0.2">
      <c r="A383" s="8">
        <v>46251</v>
      </c>
      <c r="B383" s="8"/>
      <c r="D383" s="4">
        <v>1433</v>
      </c>
      <c r="E383" s="2">
        <v>6822.87</v>
      </c>
      <c r="G383" s="9">
        <v>0</v>
      </c>
      <c r="H383" s="9"/>
      <c r="J383" s="10" t="s">
        <v>7</v>
      </c>
      <c r="K383" s="10"/>
      <c r="L383" s="10"/>
      <c r="M383" s="10"/>
      <c r="N383" t="str">
        <f>IFERROR(VLOOKUP(#REF!, Fornecedores!A:B, 2, FALSE), "")</f>
        <v/>
      </c>
    </row>
    <row r="384" spans="1:14" ht="11.85" customHeight="1" x14ac:dyDescent="0.2">
      <c r="A384" s="8">
        <v>46251</v>
      </c>
      <c r="B384" s="8"/>
      <c r="D384" s="4">
        <v>1499</v>
      </c>
      <c r="E384" s="2">
        <v>2096</v>
      </c>
      <c r="G384" s="9">
        <v>0</v>
      </c>
      <c r="H384" s="9"/>
      <c r="J384" s="10" t="s">
        <v>7</v>
      </c>
      <c r="K384" s="10"/>
      <c r="L384" s="10"/>
      <c r="M384" s="10"/>
      <c r="N384" t="str">
        <f>IFERROR(VLOOKUP(#REF!, Fornecedores!A:B, 2, FALSE), "")</f>
        <v/>
      </c>
    </row>
    <row r="385" spans="1:14" ht="11.85" customHeight="1" x14ac:dyDescent="0.2">
      <c r="A385" s="8">
        <v>46251</v>
      </c>
      <c r="B385" s="8"/>
      <c r="D385" s="4">
        <v>1573</v>
      </c>
      <c r="E385" s="2">
        <v>756</v>
      </c>
      <c r="G385" s="9">
        <v>0</v>
      </c>
      <c r="H385" s="9"/>
      <c r="J385" s="10" t="s">
        <v>7</v>
      </c>
      <c r="K385" s="10"/>
      <c r="L385" s="10"/>
      <c r="M385" s="10"/>
      <c r="N385" t="str">
        <f>IFERROR(VLOOKUP(#REF!, Fornecedores!A:B, 2, FALSE), "")</f>
        <v/>
      </c>
    </row>
    <row r="386" spans="1:14" ht="11.85" customHeight="1" x14ac:dyDescent="0.2">
      <c r="A386" s="8">
        <v>46251</v>
      </c>
      <c r="B386" s="8"/>
      <c r="D386" s="4">
        <v>1573</v>
      </c>
      <c r="E386" s="2">
        <v>38500</v>
      </c>
      <c r="G386" s="9">
        <v>0</v>
      </c>
      <c r="H386" s="9"/>
      <c r="J386" s="10" t="s">
        <v>7</v>
      </c>
      <c r="K386" s="10"/>
      <c r="L386" s="10"/>
      <c r="M386" s="10"/>
      <c r="N386" t="str">
        <f>IFERROR(VLOOKUP(#REF!, Fornecedores!A:B, 2, FALSE), "")</f>
        <v/>
      </c>
    </row>
    <row r="387" spans="1:14" ht="11.85" customHeight="1" x14ac:dyDescent="0.2">
      <c r="A387" s="8">
        <v>46251</v>
      </c>
      <c r="B387" s="8"/>
      <c r="D387" s="4">
        <v>1593</v>
      </c>
      <c r="E387" s="2">
        <v>1200</v>
      </c>
      <c r="G387" s="9">
        <v>0</v>
      </c>
      <c r="H387" s="9"/>
      <c r="J387" s="10" t="s">
        <v>7</v>
      </c>
      <c r="K387" s="10"/>
      <c r="L387" s="10"/>
      <c r="M387" s="10"/>
      <c r="N387" t="str">
        <f>IFERROR(VLOOKUP(#REF!, Fornecedores!A:B, 2, FALSE), "")</f>
        <v/>
      </c>
    </row>
    <row r="388" spans="1:14" ht="11.85" customHeight="1" x14ac:dyDescent="0.2">
      <c r="A388" s="8">
        <v>46251</v>
      </c>
      <c r="B388" s="8"/>
      <c r="D388" s="4">
        <v>1610</v>
      </c>
      <c r="E388" s="2">
        <v>3250</v>
      </c>
      <c r="G388" s="9">
        <v>0</v>
      </c>
      <c r="H388" s="9"/>
      <c r="J388" s="10" t="s">
        <v>7</v>
      </c>
      <c r="K388" s="10"/>
      <c r="L388" s="10"/>
      <c r="M388" s="10"/>
      <c r="N388" t="str">
        <f>IFERROR(VLOOKUP(#REF!, Fornecedores!A:B, 2, FALSE), "")</f>
        <v/>
      </c>
    </row>
    <row r="389" spans="1:14" ht="11.85" customHeight="1" x14ac:dyDescent="0.2">
      <c r="A389" s="8">
        <v>46251</v>
      </c>
      <c r="B389" s="8"/>
      <c r="D389" s="4">
        <v>1610</v>
      </c>
      <c r="E389" s="2">
        <v>6770</v>
      </c>
      <c r="G389" s="9">
        <v>0</v>
      </c>
      <c r="H389" s="9"/>
      <c r="J389" s="10" t="s">
        <v>7</v>
      </c>
      <c r="K389" s="10"/>
      <c r="L389" s="10"/>
      <c r="M389" s="10"/>
      <c r="N389" t="str">
        <f>IFERROR(VLOOKUP(#REF!, Fornecedores!A:B, 2, FALSE), "")</f>
        <v/>
      </c>
    </row>
    <row r="390" spans="1:14" ht="11.85" customHeight="1" x14ac:dyDescent="0.2">
      <c r="A390" s="8">
        <v>46251</v>
      </c>
      <c r="B390" s="8"/>
      <c r="D390" s="4">
        <v>1629</v>
      </c>
      <c r="E390" s="2">
        <v>315</v>
      </c>
      <c r="G390" s="9">
        <v>0</v>
      </c>
      <c r="H390" s="9"/>
      <c r="J390" s="10" t="s">
        <v>7</v>
      </c>
      <c r="K390" s="10"/>
      <c r="L390" s="10"/>
      <c r="M390" s="10"/>
      <c r="N390" t="str">
        <f>IFERROR(VLOOKUP(#REF!, Fornecedores!A:B, 2, FALSE), "")</f>
        <v/>
      </c>
    </row>
    <row r="391" spans="1:14" ht="11.85" customHeight="1" x14ac:dyDescent="0.2">
      <c r="A391" s="8">
        <v>46251</v>
      </c>
      <c r="B391" s="8"/>
      <c r="D391" s="4">
        <v>1741</v>
      </c>
      <c r="E391" s="2">
        <v>856.42</v>
      </c>
      <c r="G391" s="9">
        <v>0</v>
      </c>
      <c r="H391" s="9"/>
      <c r="J391" s="10" t="s">
        <v>7</v>
      </c>
      <c r="K391" s="10"/>
      <c r="L391" s="10"/>
      <c r="M391" s="10"/>
      <c r="N391" t="str">
        <f>IFERROR(VLOOKUP(#REF!, Fornecedores!A:B, 2, FALSE), "")</f>
        <v/>
      </c>
    </row>
    <row r="392" spans="1:14" ht="11.85" customHeight="1" x14ac:dyDescent="0.2">
      <c r="A392" s="8">
        <v>46251</v>
      </c>
      <c r="B392" s="8"/>
      <c r="D392" s="4">
        <v>1741</v>
      </c>
      <c r="E392" s="2">
        <v>487.03</v>
      </c>
      <c r="G392" s="9">
        <v>0</v>
      </c>
      <c r="H392" s="9"/>
      <c r="J392" s="10" t="s">
        <v>7</v>
      </c>
      <c r="K392" s="10"/>
      <c r="L392" s="10"/>
      <c r="M392" s="10"/>
      <c r="N392" t="str">
        <f>IFERROR(VLOOKUP(#REF!, Fornecedores!A:B, 2, FALSE), "")</f>
        <v/>
      </c>
    </row>
    <row r="393" spans="1:14" ht="11.85" customHeight="1" x14ac:dyDescent="0.2">
      <c r="A393" s="8">
        <v>46251</v>
      </c>
      <c r="B393" s="8"/>
      <c r="D393" s="4">
        <v>1743</v>
      </c>
      <c r="E393" s="2">
        <v>428.08</v>
      </c>
      <c r="G393" s="9">
        <v>0</v>
      </c>
      <c r="H393" s="9"/>
      <c r="J393" s="10" t="s">
        <v>7</v>
      </c>
      <c r="K393" s="10"/>
      <c r="L393" s="10"/>
      <c r="M393" s="10"/>
      <c r="N393" t="str">
        <f>IFERROR(VLOOKUP(#REF!, Fornecedores!A:B, 2, FALSE), "")</f>
        <v/>
      </c>
    </row>
    <row r="394" spans="1:14" ht="11.85" customHeight="1" x14ac:dyDescent="0.2">
      <c r="A394" s="8">
        <v>46251</v>
      </c>
      <c r="B394" s="8"/>
      <c r="D394" s="4">
        <v>1743</v>
      </c>
      <c r="E394" s="2">
        <v>950.01</v>
      </c>
      <c r="G394" s="9">
        <v>0</v>
      </c>
      <c r="H394" s="9"/>
      <c r="J394" s="10" t="s">
        <v>7</v>
      </c>
      <c r="K394" s="10"/>
      <c r="L394" s="10"/>
      <c r="M394" s="10"/>
      <c r="N394" t="str">
        <f>IFERROR(VLOOKUP(#REF!, Fornecedores!A:B, 2, FALSE), "")</f>
        <v/>
      </c>
    </row>
    <row r="395" spans="1:14" ht="11.85" customHeight="1" x14ac:dyDescent="0.2">
      <c r="A395" s="8">
        <v>46251</v>
      </c>
      <c r="B395" s="8"/>
      <c r="D395" s="4">
        <v>1748</v>
      </c>
      <c r="E395" s="2">
        <v>576</v>
      </c>
      <c r="G395" s="9">
        <v>0</v>
      </c>
      <c r="H395" s="9"/>
      <c r="J395" s="10" t="s">
        <v>7</v>
      </c>
      <c r="K395" s="10"/>
      <c r="L395" s="10"/>
      <c r="M395" s="10"/>
      <c r="N395" t="str">
        <f>IFERROR(VLOOKUP(#REF!, Fornecedores!A:B, 2, FALSE), "")</f>
        <v/>
      </c>
    </row>
    <row r="396" spans="1:14" ht="11.85" customHeight="1" x14ac:dyDescent="0.2">
      <c r="A396" s="8">
        <v>46251</v>
      </c>
      <c r="B396" s="8"/>
      <c r="D396" s="4">
        <v>2088</v>
      </c>
      <c r="E396" s="2">
        <v>5480</v>
      </c>
      <c r="G396" s="9">
        <v>0</v>
      </c>
      <c r="H396" s="9"/>
      <c r="J396" s="10" t="s">
        <v>7</v>
      </c>
      <c r="K396" s="10"/>
      <c r="L396" s="10"/>
      <c r="M396" s="10"/>
      <c r="N396" t="str">
        <f>IFERROR(VLOOKUP(#REF!, Fornecedores!A:B, 2, FALSE), "")</f>
        <v/>
      </c>
    </row>
    <row r="397" spans="1:14" ht="11.85" customHeight="1" x14ac:dyDescent="0.2">
      <c r="A397" s="8">
        <v>46251</v>
      </c>
      <c r="B397" s="8"/>
      <c r="D397" s="4">
        <v>2231</v>
      </c>
      <c r="E397" s="2">
        <v>203</v>
      </c>
      <c r="G397" s="9">
        <v>0</v>
      </c>
      <c r="H397" s="9"/>
      <c r="J397" s="10" t="s">
        <v>7</v>
      </c>
      <c r="K397" s="10"/>
      <c r="L397" s="10"/>
      <c r="M397" s="10"/>
      <c r="N397" t="str">
        <f>IFERROR(VLOOKUP(#REF!, Fornecedores!A:B, 2, FALSE), "")</f>
        <v/>
      </c>
    </row>
    <row r="398" spans="1:14" ht="11.85" customHeight="1" x14ac:dyDescent="0.2">
      <c r="A398" s="8">
        <v>46251</v>
      </c>
      <c r="B398" s="8"/>
      <c r="D398" s="4">
        <v>2231</v>
      </c>
      <c r="E398" s="2">
        <v>1449</v>
      </c>
      <c r="G398" s="9">
        <v>0</v>
      </c>
      <c r="H398" s="9"/>
      <c r="J398" s="10" t="s">
        <v>7</v>
      </c>
      <c r="K398" s="10"/>
      <c r="L398" s="10"/>
      <c r="M398" s="10"/>
      <c r="N398" t="str">
        <f>IFERROR(VLOOKUP(#REF!, Fornecedores!A:B, 2, FALSE), "")</f>
        <v/>
      </c>
    </row>
    <row r="399" spans="1:14" ht="11.85" customHeight="1" x14ac:dyDescent="0.2">
      <c r="A399" s="8">
        <v>46252</v>
      </c>
      <c r="B399" s="8"/>
      <c r="C399" s="7">
        <v>1021</v>
      </c>
      <c r="D399" s="4">
        <v>5</v>
      </c>
      <c r="E399" s="2">
        <v>72</v>
      </c>
      <c r="G399" s="9">
        <v>0</v>
      </c>
      <c r="H399" s="9"/>
      <c r="J399" s="10" t="s">
        <v>7</v>
      </c>
      <c r="K399" s="10"/>
      <c r="L399" s="10"/>
      <c r="M399" s="10"/>
      <c r="N399" t="str">
        <f>IFERROR(VLOOKUP(D399, Fornecedores!A:B, 2, FALSE), "")</f>
        <v/>
      </c>
    </row>
    <row r="400" spans="1:14" ht="11.85" customHeight="1" x14ac:dyDescent="0.2">
      <c r="A400" s="8">
        <v>46252</v>
      </c>
      <c r="B400" s="8"/>
      <c r="C400" s="7">
        <v>1021</v>
      </c>
      <c r="D400" s="4">
        <v>5</v>
      </c>
      <c r="E400" s="2">
        <v>48</v>
      </c>
      <c r="G400" s="9">
        <v>0</v>
      </c>
      <c r="H400" s="9"/>
      <c r="J400" s="10" t="s">
        <v>7</v>
      </c>
      <c r="K400" s="10"/>
      <c r="L400" s="10"/>
      <c r="M400" s="10"/>
      <c r="N400" t="str">
        <f>IFERROR(VLOOKUP(D400, Fornecedores!A:B, 2, FALSE), "")</f>
        <v/>
      </c>
    </row>
    <row r="401" spans="1:14" ht="11.85" customHeight="1" x14ac:dyDescent="0.2">
      <c r="A401" s="8">
        <v>46252</v>
      </c>
      <c r="B401" s="8"/>
      <c r="C401" s="7">
        <v>1021</v>
      </c>
      <c r="D401" s="4">
        <v>5</v>
      </c>
      <c r="E401" s="2">
        <v>387</v>
      </c>
      <c r="G401" s="9">
        <v>0</v>
      </c>
      <c r="H401" s="9"/>
      <c r="J401" s="10" t="s">
        <v>7</v>
      </c>
      <c r="K401" s="10"/>
      <c r="L401" s="10"/>
      <c r="M401" s="10"/>
      <c r="N401" t="str">
        <f>IFERROR(VLOOKUP(D401, Fornecedores!A:B, 2, FALSE), "")</f>
        <v/>
      </c>
    </row>
    <row r="402" spans="1:14" ht="11.85" customHeight="1" x14ac:dyDescent="0.2">
      <c r="A402" s="8">
        <v>46252</v>
      </c>
      <c r="B402" s="8"/>
      <c r="C402" s="7">
        <v>1021</v>
      </c>
      <c r="D402" s="4">
        <v>5</v>
      </c>
      <c r="E402" s="2">
        <v>157</v>
      </c>
      <c r="G402" s="9">
        <v>0</v>
      </c>
      <c r="H402" s="9"/>
      <c r="J402" s="10" t="s">
        <v>7</v>
      </c>
      <c r="K402" s="10"/>
      <c r="L402" s="10"/>
      <c r="M402" s="10"/>
      <c r="N402" t="str">
        <f>IFERROR(VLOOKUP(D402, Fornecedores!A:B, 2, FALSE), "")</f>
        <v/>
      </c>
    </row>
    <row r="403" spans="1:14" ht="11.85" customHeight="1" x14ac:dyDescent="0.2">
      <c r="A403" s="8">
        <v>46252</v>
      </c>
      <c r="B403" s="8"/>
      <c r="C403" s="7">
        <v>1021</v>
      </c>
      <c r="D403" s="4">
        <v>5</v>
      </c>
      <c r="E403" s="2">
        <v>308</v>
      </c>
      <c r="G403" s="9">
        <v>0</v>
      </c>
      <c r="H403" s="9"/>
      <c r="J403" s="10" t="s">
        <v>7</v>
      </c>
      <c r="K403" s="10"/>
      <c r="L403" s="10"/>
      <c r="M403" s="10"/>
      <c r="N403" t="str">
        <f>IFERROR(VLOOKUP(D403, Fornecedores!A:B, 2, FALSE), "")</f>
        <v/>
      </c>
    </row>
    <row r="404" spans="1:14" ht="11.85" customHeight="1" x14ac:dyDescent="0.2">
      <c r="A404" s="8">
        <v>46252</v>
      </c>
      <c r="B404" s="8"/>
      <c r="C404" s="7">
        <v>2047</v>
      </c>
      <c r="D404" s="4">
        <v>5</v>
      </c>
      <c r="E404" s="2">
        <v>7969.7</v>
      </c>
      <c r="G404" s="9">
        <v>0</v>
      </c>
      <c r="H404" s="9"/>
      <c r="J404" s="10" t="s">
        <v>7</v>
      </c>
      <c r="K404" s="10"/>
      <c r="L404" s="10"/>
      <c r="M404" s="10"/>
      <c r="N404" t="str">
        <f>IFERROR(VLOOKUP(D404, Fornecedores!A:B, 2, FALSE), "")</f>
        <v/>
      </c>
    </row>
    <row r="405" spans="1:14" ht="11.85" customHeight="1" x14ac:dyDescent="0.2">
      <c r="A405" s="8">
        <v>46252</v>
      </c>
      <c r="B405" s="8"/>
      <c r="C405" s="7">
        <v>2112</v>
      </c>
      <c r="D405" s="4">
        <v>5</v>
      </c>
      <c r="E405" s="2">
        <v>82.9</v>
      </c>
      <c r="G405" s="9">
        <v>0</v>
      </c>
      <c r="H405" s="9"/>
      <c r="J405" s="10" t="s">
        <v>7</v>
      </c>
      <c r="K405" s="10"/>
      <c r="L405" s="10"/>
      <c r="M405" s="10"/>
      <c r="N405" t="str">
        <f>IFERROR(VLOOKUP(D405, Fornecedores!A:B, 2, FALSE), "")</f>
        <v/>
      </c>
    </row>
    <row r="406" spans="1:14" ht="11.85" customHeight="1" x14ac:dyDescent="0.2">
      <c r="A406" s="8">
        <v>46252</v>
      </c>
      <c r="B406" s="8"/>
      <c r="C406" s="7">
        <v>2250</v>
      </c>
      <c r="D406" s="4">
        <v>5</v>
      </c>
      <c r="E406" s="2">
        <v>515</v>
      </c>
      <c r="G406" s="9">
        <v>0</v>
      </c>
      <c r="H406" s="9"/>
      <c r="J406" s="10" t="s">
        <v>7</v>
      </c>
      <c r="K406" s="10"/>
      <c r="L406" s="10"/>
      <c r="M406" s="10"/>
      <c r="N406" t="str">
        <f>IFERROR(VLOOKUP(D406, Fornecedores!A:B, 2, FALSE), "")</f>
        <v/>
      </c>
    </row>
    <row r="407" spans="1:14" ht="11.85" customHeight="1" x14ac:dyDescent="0.2">
      <c r="A407" s="8">
        <v>46252</v>
      </c>
      <c r="B407" s="8"/>
      <c r="C407" s="7">
        <v>2250</v>
      </c>
      <c r="D407" s="4">
        <v>5</v>
      </c>
      <c r="E407" s="2">
        <v>515</v>
      </c>
      <c r="G407" s="9">
        <v>0</v>
      </c>
      <c r="H407" s="9"/>
      <c r="J407" s="10" t="s">
        <v>7</v>
      </c>
      <c r="K407" s="10"/>
      <c r="L407" s="10"/>
      <c r="M407" s="10"/>
      <c r="N407" t="str">
        <f>IFERROR(VLOOKUP(D407, Fornecedores!A:B, 2, FALSE), "")</f>
        <v/>
      </c>
    </row>
    <row r="408" spans="1:14" ht="11.85" customHeight="1" x14ac:dyDescent="0.2">
      <c r="A408" s="8">
        <v>46252</v>
      </c>
      <c r="B408" s="8"/>
      <c r="C408" s="7">
        <v>1237</v>
      </c>
      <c r="D408" s="4">
        <v>5</v>
      </c>
      <c r="E408" s="2">
        <v>27000</v>
      </c>
      <c r="G408" s="9">
        <v>0</v>
      </c>
      <c r="H408" s="9"/>
      <c r="J408" s="10" t="s">
        <v>7</v>
      </c>
      <c r="K408" s="10"/>
      <c r="L408" s="10"/>
      <c r="M408" s="10"/>
      <c r="N408" t="str">
        <f>IFERROR(VLOOKUP(D408, Fornecedores!A:B, 2, FALSE), "")</f>
        <v/>
      </c>
    </row>
    <row r="409" spans="1:14" ht="11.85" customHeight="1" x14ac:dyDescent="0.2">
      <c r="A409" s="8">
        <v>46252</v>
      </c>
      <c r="B409" s="8"/>
      <c r="C409" s="7">
        <v>2191</v>
      </c>
      <c r="D409" s="4">
        <v>5</v>
      </c>
      <c r="E409" s="2">
        <v>6048</v>
      </c>
      <c r="G409" s="9">
        <v>0</v>
      </c>
      <c r="H409" s="9"/>
      <c r="J409" s="10" t="s">
        <v>7</v>
      </c>
      <c r="K409" s="10"/>
      <c r="L409" s="10"/>
      <c r="M409" s="10"/>
      <c r="N409" t="str">
        <f>IFERROR(VLOOKUP(D409, Fornecedores!A:B, 2, FALSE), "")</f>
        <v/>
      </c>
    </row>
    <row r="410" spans="1:14" ht="11.85" customHeight="1" x14ac:dyDescent="0.2">
      <c r="A410" s="8">
        <v>46252</v>
      </c>
      <c r="B410" s="8"/>
      <c r="C410" s="7">
        <v>2191</v>
      </c>
      <c r="D410" s="4">
        <v>5</v>
      </c>
      <c r="E410" s="2">
        <v>4422</v>
      </c>
      <c r="G410" s="9">
        <v>0</v>
      </c>
      <c r="H410" s="9"/>
      <c r="J410" s="10" t="s">
        <v>7</v>
      </c>
      <c r="K410" s="10"/>
      <c r="L410" s="10"/>
      <c r="M410" s="10"/>
      <c r="N410" t="str">
        <f>IFERROR(VLOOKUP(D410, Fornecedores!A:B, 2, FALSE), "")</f>
        <v/>
      </c>
    </row>
    <row r="411" spans="1:14" ht="11.85" customHeight="1" x14ac:dyDescent="0.2">
      <c r="A411" s="8">
        <v>46252</v>
      </c>
      <c r="B411" s="8"/>
      <c r="C411" s="7">
        <v>1655</v>
      </c>
      <c r="D411" s="4">
        <v>5</v>
      </c>
      <c r="E411" s="2">
        <v>22040</v>
      </c>
      <c r="G411" s="9">
        <v>0</v>
      </c>
      <c r="H411" s="9"/>
      <c r="J411" s="10" t="s">
        <v>7</v>
      </c>
      <c r="K411" s="10"/>
      <c r="L411" s="10"/>
      <c r="M411" s="10"/>
      <c r="N411" t="str">
        <f>IFERROR(VLOOKUP(D411, Fornecedores!A:B, 2, FALSE), "")</f>
        <v/>
      </c>
    </row>
    <row r="412" spans="1:14" ht="11.85" customHeight="1" x14ac:dyDescent="0.2">
      <c r="A412" s="8">
        <v>46252</v>
      </c>
      <c r="B412" s="8"/>
      <c r="C412" s="7">
        <v>1760</v>
      </c>
      <c r="D412" s="4">
        <v>519</v>
      </c>
      <c r="E412" s="2">
        <v>613</v>
      </c>
      <c r="G412" s="9">
        <v>0</v>
      </c>
      <c r="H412" s="9"/>
      <c r="J412" s="10" t="s">
        <v>7</v>
      </c>
      <c r="K412" s="10"/>
      <c r="L412" s="10"/>
      <c r="M412" s="10"/>
      <c r="N412" t="str">
        <f>IFERROR(VLOOKUP(D412, Fornecedores!A:B, 2, FALSE), "")</f>
        <v>ENCANEL COM. DE MAT. DE CONST. LTDA</v>
      </c>
    </row>
    <row r="413" spans="1:14" ht="11.85" customHeight="1" x14ac:dyDescent="0.2">
      <c r="A413" s="8">
        <v>46252</v>
      </c>
      <c r="B413" s="8"/>
      <c r="C413" s="7">
        <v>2033</v>
      </c>
      <c r="D413" s="4">
        <v>519</v>
      </c>
      <c r="E413" s="2">
        <v>3339.74</v>
      </c>
      <c r="G413" s="9">
        <v>0</v>
      </c>
      <c r="H413" s="9"/>
      <c r="J413" s="10" t="s">
        <v>7</v>
      </c>
      <c r="K413" s="10"/>
      <c r="L413" s="10"/>
      <c r="M413" s="10"/>
      <c r="N413" t="str">
        <f>IFERROR(VLOOKUP(D413, Fornecedores!A:B, 2, FALSE), "")</f>
        <v>ENCANEL COM. DE MAT. DE CONST. LTDA</v>
      </c>
    </row>
    <row r="414" spans="1:14" ht="11.85" customHeight="1" x14ac:dyDescent="0.2">
      <c r="A414" s="8">
        <v>46252</v>
      </c>
      <c r="B414" s="8"/>
      <c r="C414" s="7">
        <v>1024</v>
      </c>
      <c r="D414" s="4">
        <v>520</v>
      </c>
      <c r="E414" s="2">
        <v>632.47</v>
      </c>
      <c r="G414" s="9">
        <v>0</v>
      </c>
      <c r="H414" s="9"/>
      <c r="J414" s="10" t="s">
        <v>7</v>
      </c>
      <c r="K414" s="10"/>
      <c r="L414" s="10"/>
      <c r="M414" s="10"/>
      <c r="N414" t="str">
        <f>IFERROR(VLOOKUP(D414, Fornecedores!A:B, 2, FALSE), "")</f>
        <v>RENACOR COM. DE TINTAS LTDA (TAQUARALTO)</v>
      </c>
    </row>
    <row r="415" spans="1:14" ht="11.85" customHeight="1" x14ac:dyDescent="0.2">
      <c r="A415" s="8">
        <v>46252</v>
      </c>
      <c r="B415" s="8"/>
      <c r="C415" s="7">
        <v>1024</v>
      </c>
      <c r="D415" s="4">
        <v>520</v>
      </c>
      <c r="E415" s="2">
        <v>1876.19</v>
      </c>
      <c r="G415" s="9">
        <v>0</v>
      </c>
      <c r="H415" s="9"/>
      <c r="J415" s="10" t="s">
        <v>7</v>
      </c>
      <c r="K415" s="10"/>
      <c r="L415" s="10"/>
      <c r="M415" s="10"/>
      <c r="N415" t="str">
        <f>IFERROR(VLOOKUP(D415, Fornecedores!A:B, 2, FALSE), "")</f>
        <v>RENACOR COM. DE TINTAS LTDA (TAQUARALTO)</v>
      </c>
    </row>
    <row r="416" spans="1:14" ht="11.85" customHeight="1" x14ac:dyDescent="0.2">
      <c r="A416" s="8">
        <v>46252</v>
      </c>
      <c r="B416" s="8"/>
      <c r="C416" s="7">
        <v>1025</v>
      </c>
      <c r="D416" s="4">
        <v>526</v>
      </c>
      <c r="E416" s="2">
        <v>245.11</v>
      </c>
      <c r="G416" s="9">
        <v>0</v>
      </c>
      <c r="H416" s="9"/>
      <c r="J416" s="10" t="s">
        <v>7</v>
      </c>
      <c r="K416" s="10"/>
      <c r="L416" s="10"/>
      <c r="M416" s="10"/>
      <c r="N416" t="str">
        <f>IFERROR(VLOOKUP(D416, Fornecedores!A:B, 2, FALSE), "")</f>
        <v>FERPAM COM. DE FERRAMENTAS PARAFUSOS E MAQUINAS LTDA</v>
      </c>
    </row>
    <row r="417" spans="1:14" ht="11.85" customHeight="1" x14ac:dyDescent="0.2">
      <c r="A417" s="8">
        <v>46252</v>
      </c>
      <c r="B417" s="8"/>
      <c r="C417" s="7">
        <v>1027</v>
      </c>
      <c r="D417" s="4">
        <v>526</v>
      </c>
      <c r="E417" s="2">
        <v>596</v>
      </c>
      <c r="G417" s="9">
        <v>0</v>
      </c>
      <c r="H417" s="9"/>
      <c r="J417" s="10" t="s">
        <v>7</v>
      </c>
      <c r="K417" s="10"/>
      <c r="L417" s="10"/>
      <c r="M417" s="10"/>
      <c r="N417" t="str">
        <f>IFERROR(VLOOKUP(D417, Fornecedores!A:B, 2, FALSE), "")</f>
        <v>FERPAM COM. DE FERRAMENTAS PARAFUSOS E MAQUINAS LTDA</v>
      </c>
    </row>
    <row r="418" spans="1:14" ht="11.85" customHeight="1" x14ac:dyDescent="0.2">
      <c r="A418" s="8">
        <v>46252</v>
      </c>
      <c r="B418" s="8"/>
      <c r="C418" s="7">
        <v>1025</v>
      </c>
      <c r="D418" s="4">
        <v>526</v>
      </c>
      <c r="E418" s="2">
        <v>756.36</v>
      </c>
      <c r="G418" s="9">
        <v>0</v>
      </c>
      <c r="H418" s="9"/>
      <c r="J418" s="10" t="s">
        <v>7</v>
      </c>
      <c r="K418" s="10"/>
      <c r="L418" s="10"/>
      <c r="M418" s="10"/>
      <c r="N418" t="str">
        <f>IFERROR(VLOOKUP(D418, Fornecedores!A:B, 2, FALSE), "")</f>
        <v>FERPAM COM. DE FERRAMENTAS PARAFUSOS E MAQUINAS LTDA</v>
      </c>
    </row>
    <row r="419" spans="1:14" ht="11.85" customHeight="1" x14ac:dyDescent="0.2">
      <c r="A419" s="8">
        <v>46252</v>
      </c>
      <c r="B419" s="8"/>
      <c r="C419" s="7">
        <v>1024</v>
      </c>
      <c r="D419" s="4">
        <v>613</v>
      </c>
      <c r="E419" s="2">
        <v>389.9</v>
      </c>
      <c r="G419" s="9">
        <v>0</v>
      </c>
      <c r="H419" s="9"/>
      <c r="J419" s="10" t="s">
        <v>7</v>
      </c>
      <c r="K419" s="10"/>
      <c r="L419" s="10"/>
      <c r="M419" s="10"/>
      <c r="N419" t="str">
        <f>IFERROR(VLOOKUP(D419, Fornecedores!A:B, 2, FALSE), "")</f>
        <v>IRMAOS MEURER LTDA</v>
      </c>
    </row>
    <row r="420" spans="1:14" ht="11.85" customHeight="1" x14ac:dyDescent="0.2">
      <c r="A420" s="8">
        <v>46252</v>
      </c>
      <c r="B420" s="8"/>
      <c r="C420" s="7">
        <v>1020</v>
      </c>
      <c r="D420" s="4">
        <v>1573</v>
      </c>
      <c r="E420" s="2">
        <v>197</v>
      </c>
      <c r="G420" s="9">
        <v>0</v>
      </c>
      <c r="H420" s="9"/>
      <c r="J420" s="10" t="s">
        <v>7</v>
      </c>
      <c r="K420" s="10"/>
      <c r="L420" s="10"/>
      <c r="M420" s="10"/>
      <c r="N420" t="str">
        <f>IFERROR(VLOOKUP(D420, Fornecedores!A:B, 2, FALSE), "")</f>
        <v>FERROTEC DISTRIBUIDORA DE FERRO E ACO LTDA.</v>
      </c>
    </row>
    <row r="421" spans="1:14" ht="11.85" customHeight="1" x14ac:dyDescent="0.2">
      <c r="A421" s="8">
        <v>46252</v>
      </c>
      <c r="B421" s="8"/>
      <c r="C421" s="7">
        <v>1020</v>
      </c>
      <c r="D421" s="4">
        <v>1573</v>
      </c>
      <c r="E421" s="2">
        <v>140</v>
      </c>
      <c r="G421" s="9">
        <v>0</v>
      </c>
      <c r="H421" s="9"/>
      <c r="J421" s="10" t="s">
        <v>7</v>
      </c>
      <c r="K421" s="10"/>
      <c r="L421" s="10"/>
      <c r="M421" s="10"/>
      <c r="N421" t="str">
        <f>IFERROR(VLOOKUP(D421, Fornecedores!A:B, 2, FALSE), "")</f>
        <v>FERROTEC DISTRIBUIDORA DE FERRO E ACO LTDA.</v>
      </c>
    </row>
    <row r="422" spans="1:14" ht="11.85" customHeight="1" x14ac:dyDescent="0.2">
      <c r="A422" s="8">
        <v>46252</v>
      </c>
      <c r="B422" s="8"/>
      <c r="C422" s="7">
        <v>983</v>
      </c>
      <c r="D422" s="4">
        <v>1712</v>
      </c>
      <c r="E422" s="2">
        <v>25529.83</v>
      </c>
      <c r="G422" s="9">
        <v>0</v>
      </c>
      <c r="H422" s="9"/>
      <c r="J422" s="10" t="s">
        <v>7</v>
      </c>
      <c r="K422" s="10"/>
      <c r="L422" s="10"/>
      <c r="M422" s="10"/>
      <c r="N422" t="str">
        <f>IFERROR(VLOOKUP(D422, Fornecedores!A:B, 2, FALSE), "")</f>
        <v>ATIVA MATERIAIS ELETRICOS LTDA</v>
      </c>
    </row>
    <row r="423" spans="1:14" ht="11.85" customHeight="1" x14ac:dyDescent="0.2">
      <c r="A423" s="8">
        <v>46252</v>
      </c>
      <c r="B423" s="8"/>
      <c r="C423" s="7">
        <v>272</v>
      </c>
      <c r="D423" s="4">
        <v>1743</v>
      </c>
      <c r="E423" s="2">
        <v>1047.99</v>
      </c>
      <c r="G423" s="9">
        <v>0</v>
      </c>
      <c r="H423" s="9"/>
      <c r="J423" s="10" t="s">
        <v>7</v>
      </c>
      <c r="K423" s="10"/>
      <c r="L423" s="10"/>
      <c r="M423" s="10"/>
      <c r="N423" t="str">
        <f>IFERROR(VLOOKUP(D423, Fornecedores!A:B, 2, FALSE), "")</f>
        <v>BARBOSA E ANJOS LTDA</v>
      </c>
    </row>
    <row r="424" spans="1:14" ht="11.85" customHeight="1" x14ac:dyDescent="0.2">
      <c r="A424" s="8">
        <v>46252</v>
      </c>
      <c r="B424" s="8"/>
      <c r="C424" s="7">
        <v>1181</v>
      </c>
      <c r="D424" s="4">
        <v>2085</v>
      </c>
      <c r="E424" s="2">
        <v>296.81</v>
      </c>
      <c r="G424" s="9">
        <v>0</v>
      </c>
      <c r="H424" s="9"/>
      <c r="J424" s="10" t="s">
        <v>7</v>
      </c>
      <c r="K424" s="10"/>
      <c r="L424" s="10"/>
      <c r="M424" s="10"/>
      <c r="N424" t="str">
        <f>IFERROR(VLOOKUP(D424, Fornecedores!A:B, 2, FALSE), "")</f>
        <v>BRILHUSS PRODUTOS DE HIGIENE E LIMPEZA EIRELI - ME</v>
      </c>
    </row>
    <row r="425" spans="1:14" ht="11.85" customHeight="1" x14ac:dyDescent="0.2">
      <c r="A425" s="8">
        <v>46252</v>
      </c>
      <c r="B425" s="8"/>
      <c r="C425" s="7">
        <v>1688</v>
      </c>
      <c r="D425" s="4">
        <v>2213</v>
      </c>
      <c r="E425" s="2">
        <v>282.94</v>
      </c>
      <c r="G425" s="9">
        <v>0</v>
      </c>
      <c r="H425" s="9"/>
      <c r="J425" s="10" t="s">
        <v>7</v>
      </c>
      <c r="K425" s="10"/>
      <c r="L425" s="10"/>
      <c r="M425" s="10"/>
      <c r="N425" t="str">
        <f>IFERROR(VLOOKUP(D425, Fornecedores!A:B, 2, FALSE), "")</f>
        <v>LA INDUSTRIA E COMERCIO DE CAFE EIRELI</v>
      </c>
    </row>
    <row r="426" spans="1:14" ht="11.85" customHeight="1" x14ac:dyDescent="0.2">
      <c r="A426" s="8">
        <v>46252</v>
      </c>
      <c r="B426" s="8"/>
      <c r="C426" s="7">
        <v>1021</v>
      </c>
      <c r="D426" s="4">
        <v>2286</v>
      </c>
      <c r="E426" s="2">
        <v>2253.98</v>
      </c>
      <c r="G426" s="9">
        <v>0</v>
      </c>
      <c r="H426" s="9"/>
      <c r="J426" s="10" t="s">
        <v>7</v>
      </c>
      <c r="K426" s="10"/>
      <c r="L426" s="10"/>
      <c r="M426" s="10"/>
      <c r="N426" t="str">
        <f>IFERROR(VLOOKUP(D426, Fornecedores!A:B, 2, FALSE), "")</f>
        <v>ALBERTO LIVIO CAMPOS VIANA - ME</v>
      </c>
    </row>
    <row r="427" spans="1:14" ht="11.85" customHeight="1" x14ac:dyDescent="0.2">
      <c r="A427" s="8">
        <v>46252</v>
      </c>
      <c r="B427" s="8"/>
      <c r="C427" s="7">
        <v>1021</v>
      </c>
      <c r="D427" s="4">
        <v>2308</v>
      </c>
      <c r="E427" s="2">
        <v>7127.57</v>
      </c>
      <c r="G427" s="9">
        <v>0</v>
      </c>
      <c r="H427" s="9"/>
      <c r="J427" s="10" t="s">
        <v>7</v>
      </c>
      <c r="K427" s="10"/>
      <c r="L427" s="10"/>
      <c r="M427" s="10"/>
      <c r="N427" t="str">
        <f>IFERROR(VLOOKUP(D427, Fornecedores!A:B, 2, FALSE), "")</f>
        <v>CIAEL COMANDO E AUTOMACAO LTDA</v>
      </c>
    </row>
    <row r="428" spans="1:14" ht="11.85" customHeight="1" x14ac:dyDescent="0.2">
      <c r="A428" s="8">
        <v>46252</v>
      </c>
      <c r="B428" s="8"/>
      <c r="C428" s="7">
        <v>1021</v>
      </c>
      <c r="D428" s="4">
        <v>2309</v>
      </c>
      <c r="E428" s="2">
        <v>2300</v>
      </c>
      <c r="G428" s="9">
        <v>0</v>
      </c>
      <c r="H428" s="9"/>
      <c r="J428" s="10" t="s">
        <v>7</v>
      </c>
      <c r="K428" s="10"/>
      <c r="L428" s="10"/>
      <c r="M428" s="10"/>
      <c r="N428" t="str">
        <f>IFERROR(VLOOKUP(D428, Fornecedores!A:B, 2, FALSE), "")</f>
        <v>ANTONIO JOSE ALVES DA SILVA NETO</v>
      </c>
    </row>
    <row r="429" spans="1:14" ht="11.85" customHeight="1" x14ac:dyDescent="0.2">
      <c r="A429" s="8">
        <v>46253</v>
      </c>
      <c r="B429" s="8"/>
      <c r="C429" s="7">
        <v>1021</v>
      </c>
      <c r="D429" s="4">
        <v>5</v>
      </c>
      <c r="E429" s="2">
        <v>176</v>
      </c>
      <c r="G429" s="9">
        <v>0</v>
      </c>
      <c r="H429" s="9"/>
      <c r="J429" s="10" t="s">
        <v>7</v>
      </c>
      <c r="K429" s="10"/>
      <c r="L429" s="10"/>
      <c r="M429" s="10"/>
      <c r="N429" t="str">
        <f>IFERROR(VLOOKUP(D429, Fornecedores!A:B, 2, FALSE), "")</f>
        <v/>
      </c>
    </row>
    <row r="430" spans="1:14" ht="11.85" customHeight="1" x14ac:dyDescent="0.2">
      <c r="A430" s="8">
        <v>46253</v>
      </c>
      <c r="B430" s="8"/>
      <c r="C430" s="7">
        <v>1021</v>
      </c>
      <c r="D430" s="4">
        <v>5</v>
      </c>
      <c r="E430" s="2">
        <v>162</v>
      </c>
      <c r="G430" s="9">
        <v>0</v>
      </c>
      <c r="H430" s="9"/>
      <c r="J430" s="10" t="s">
        <v>7</v>
      </c>
      <c r="K430" s="10"/>
      <c r="L430" s="10"/>
      <c r="M430" s="10"/>
      <c r="N430" t="str">
        <f>IFERROR(VLOOKUP(D430, Fornecedores!A:B, 2, FALSE), "")</f>
        <v/>
      </c>
    </row>
    <row r="431" spans="1:14" ht="11.85" customHeight="1" x14ac:dyDescent="0.2">
      <c r="A431" s="8">
        <v>46253</v>
      </c>
      <c r="B431" s="8"/>
      <c r="C431" s="7">
        <v>1021</v>
      </c>
      <c r="D431" s="4">
        <v>5</v>
      </c>
      <c r="E431" s="2">
        <v>48</v>
      </c>
      <c r="G431" s="9">
        <v>0</v>
      </c>
      <c r="H431" s="9"/>
      <c r="J431" s="10" t="s">
        <v>7</v>
      </c>
      <c r="K431" s="10"/>
      <c r="L431" s="10"/>
      <c r="M431" s="10"/>
      <c r="N431" t="str">
        <f>IFERROR(VLOOKUP(D431, Fornecedores!A:B, 2, FALSE), "")</f>
        <v/>
      </c>
    </row>
    <row r="432" spans="1:14" ht="11.85" customHeight="1" x14ac:dyDescent="0.2">
      <c r="A432" s="8">
        <v>46253</v>
      </c>
      <c r="B432" s="8"/>
      <c r="C432" s="7">
        <v>1021</v>
      </c>
      <c r="D432" s="4">
        <v>5</v>
      </c>
      <c r="E432" s="2">
        <v>520</v>
      </c>
      <c r="G432" s="9">
        <v>0</v>
      </c>
      <c r="H432" s="9"/>
      <c r="J432" s="10" t="s">
        <v>7</v>
      </c>
      <c r="K432" s="10"/>
      <c r="L432" s="10"/>
      <c r="M432" s="10"/>
      <c r="N432" t="str">
        <f>IFERROR(VLOOKUP(D432, Fornecedores!A:B, 2, FALSE), "")</f>
        <v/>
      </c>
    </row>
    <row r="433" spans="1:14" ht="11.85" customHeight="1" x14ac:dyDescent="0.2">
      <c r="A433" s="8">
        <v>46253</v>
      </c>
      <c r="B433" s="8"/>
      <c r="C433" s="7">
        <v>1021</v>
      </c>
      <c r="D433" s="4">
        <v>5</v>
      </c>
      <c r="E433" s="2">
        <v>2016</v>
      </c>
      <c r="G433" s="9">
        <v>0</v>
      </c>
      <c r="H433" s="9"/>
      <c r="J433" s="10" t="s">
        <v>7</v>
      </c>
      <c r="K433" s="10"/>
      <c r="L433" s="10"/>
      <c r="M433" s="10"/>
      <c r="N433" t="str">
        <f>IFERROR(VLOOKUP(D433, Fornecedores!A:B, 2, FALSE), "")</f>
        <v/>
      </c>
    </row>
    <row r="434" spans="1:14" ht="11.85" customHeight="1" x14ac:dyDescent="0.2">
      <c r="A434" s="8">
        <v>46253</v>
      </c>
      <c r="B434" s="8"/>
      <c r="C434" s="7">
        <v>1021</v>
      </c>
      <c r="D434" s="4">
        <v>5</v>
      </c>
      <c r="E434" s="2">
        <v>1827.3</v>
      </c>
      <c r="G434" s="9">
        <v>0</v>
      </c>
      <c r="H434" s="9"/>
      <c r="J434" s="10" t="s">
        <v>7</v>
      </c>
      <c r="K434" s="10"/>
      <c r="L434" s="10"/>
      <c r="M434" s="10"/>
      <c r="N434" t="str">
        <f>IFERROR(VLOOKUP(D434, Fornecedores!A:B, 2, FALSE), "")</f>
        <v/>
      </c>
    </row>
    <row r="435" spans="1:14" ht="11.85" customHeight="1" x14ac:dyDescent="0.2">
      <c r="A435" s="8">
        <v>46253</v>
      </c>
      <c r="B435" s="8"/>
      <c r="C435" s="7">
        <v>1021</v>
      </c>
      <c r="D435" s="4">
        <v>5</v>
      </c>
      <c r="E435" s="2">
        <v>1217.92</v>
      </c>
      <c r="G435" s="9">
        <v>0</v>
      </c>
      <c r="H435" s="9"/>
      <c r="J435" s="10" t="s">
        <v>7</v>
      </c>
      <c r="K435" s="10"/>
      <c r="L435" s="10"/>
      <c r="M435" s="10"/>
      <c r="N435" t="str">
        <f>IFERROR(VLOOKUP(D435, Fornecedores!A:B, 2, FALSE), "")</f>
        <v/>
      </c>
    </row>
    <row r="436" spans="1:14" ht="11.85" customHeight="1" x14ac:dyDescent="0.2">
      <c r="A436" s="8">
        <v>46253</v>
      </c>
      <c r="B436" s="8"/>
      <c r="C436" s="7">
        <v>1021</v>
      </c>
      <c r="D436" s="4">
        <v>5</v>
      </c>
      <c r="E436" s="2">
        <v>8.08</v>
      </c>
      <c r="G436" s="9">
        <v>0</v>
      </c>
      <c r="H436" s="9"/>
      <c r="J436" s="10" t="s">
        <v>7</v>
      </c>
      <c r="K436" s="10"/>
      <c r="L436" s="10"/>
      <c r="M436" s="10"/>
      <c r="N436" t="str">
        <f>IFERROR(VLOOKUP(D436, Fornecedores!A:B, 2, FALSE), "")</f>
        <v/>
      </c>
    </row>
    <row r="437" spans="1:14" ht="11.85" customHeight="1" x14ac:dyDescent="0.2">
      <c r="A437" s="8">
        <v>46253</v>
      </c>
      <c r="B437" s="8"/>
      <c r="C437" s="7">
        <v>1021</v>
      </c>
      <c r="D437" s="4">
        <v>5</v>
      </c>
      <c r="E437" s="2">
        <v>112</v>
      </c>
      <c r="G437" s="9">
        <v>0</v>
      </c>
      <c r="H437" s="9"/>
      <c r="J437" s="10" t="s">
        <v>7</v>
      </c>
      <c r="K437" s="10"/>
      <c r="L437" s="10"/>
      <c r="M437" s="10"/>
      <c r="N437" t="str">
        <f>IFERROR(VLOOKUP(D437, Fornecedores!A:B, 2, FALSE), "")</f>
        <v/>
      </c>
    </row>
    <row r="438" spans="1:14" ht="11.85" customHeight="1" x14ac:dyDescent="0.2">
      <c r="A438" s="8">
        <v>46253</v>
      </c>
      <c r="B438" s="8"/>
      <c r="C438" s="7">
        <v>1021</v>
      </c>
      <c r="D438" s="4">
        <v>5</v>
      </c>
      <c r="E438" s="2">
        <v>313</v>
      </c>
      <c r="G438" s="9">
        <v>0</v>
      </c>
      <c r="H438" s="9"/>
      <c r="J438" s="10" t="s">
        <v>7</v>
      </c>
      <c r="K438" s="10"/>
      <c r="L438" s="10"/>
      <c r="M438" s="10"/>
      <c r="N438" t="str">
        <f>IFERROR(VLOOKUP(D438, Fornecedores!A:B, 2, FALSE), "")</f>
        <v/>
      </c>
    </row>
    <row r="439" spans="1:14" ht="11.85" customHeight="1" x14ac:dyDescent="0.2">
      <c r="A439" s="8">
        <v>46253</v>
      </c>
      <c r="B439" s="8"/>
      <c r="C439" s="7">
        <v>1021</v>
      </c>
      <c r="D439" s="4">
        <v>5</v>
      </c>
      <c r="E439" s="2">
        <v>51.5</v>
      </c>
      <c r="G439" s="9">
        <v>0</v>
      </c>
      <c r="H439" s="9"/>
      <c r="J439" s="10" t="s">
        <v>7</v>
      </c>
      <c r="K439" s="10"/>
      <c r="L439" s="10"/>
      <c r="M439" s="10"/>
      <c r="N439" t="str">
        <f>IFERROR(VLOOKUP(D439, Fornecedores!A:B, 2, FALSE), "")</f>
        <v/>
      </c>
    </row>
    <row r="440" spans="1:14" ht="11.85" customHeight="1" x14ac:dyDescent="0.2">
      <c r="A440" s="8">
        <v>46253</v>
      </c>
      <c r="B440" s="8"/>
      <c r="C440" s="7">
        <v>1021</v>
      </c>
      <c r="D440" s="4">
        <v>5</v>
      </c>
      <c r="E440" s="2">
        <v>276.27999999999997</v>
      </c>
      <c r="G440" s="9">
        <v>0</v>
      </c>
      <c r="H440" s="9"/>
      <c r="J440" s="10" t="s">
        <v>7</v>
      </c>
      <c r="K440" s="10"/>
      <c r="L440" s="10"/>
      <c r="M440" s="10"/>
      <c r="N440" t="str">
        <f>IFERROR(VLOOKUP(D440, Fornecedores!A:B, 2, FALSE), "")</f>
        <v/>
      </c>
    </row>
    <row r="441" spans="1:14" ht="11.85" customHeight="1" x14ac:dyDescent="0.2">
      <c r="A441" s="8">
        <v>46253</v>
      </c>
      <c r="B441" s="8"/>
      <c r="C441" s="7">
        <v>1021</v>
      </c>
      <c r="D441" s="4">
        <v>5</v>
      </c>
      <c r="E441" s="2">
        <v>87.72</v>
      </c>
      <c r="G441" s="9">
        <v>0</v>
      </c>
      <c r="H441" s="9"/>
      <c r="J441" s="10" t="s">
        <v>7</v>
      </c>
      <c r="K441" s="10"/>
      <c r="L441" s="10"/>
      <c r="M441" s="10"/>
      <c r="N441" t="str">
        <f>IFERROR(VLOOKUP(D441, Fornecedores!A:B, 2, FALSE), "")</f>
        <v/>
      </c>
    </row>
    <row r="442" spans="1:14" ht="11.85" customHeight="1" x14ac:dyDescent="0.2">
      <c r="A442" s="8">
        <v>46253</v>
      </c>
      <c r="B442" s="8"/>
      <c r="C442" s="7">
        <v>1021</v>
      </c>
      <c r="D442" s="4">
        <v>5</v>
      </c>
      <c r="E442" s="2">
        <v>419</v>
      </c>
      <c r="G442" s="9">
        <v>0</v>
      </c>
      <c r="H442" s="9"/>
      <c r="J442" s="10" t="s">
        <v>7</v>
      </c>
      <c r="K442" s="10"/>
      <c r="L442" s="10"/>
      <c r="M442" s="10"/>
      <c r="N442" t="str">
        <f>IFERROR(VLOOKUP(D442, Fornecedores!A:B, 2, FALSE), "")</f>
        <v/>
      </c>
    </row>
    <row r="443" spans="1:14" ht="11.85" customHeight="1" x14ac:dyDescent="0.2">
      <c r="A443" s="8">
        <v>46253</v>
      </c>
      <c r="B443" s="8"/>
      <c r="C443" s="7">
        <v>2133</v>
      </c>
      <c r="D443" s="4">
        <v>514</v>
      </c>
      <c r="E443" s="2">
        <v>2100</v>
      </c>
      <c r="G443" s="9">
        <v>0</v>
      </c>
      <c r="H443" s="9"/>
      <c r="J443" s="10" t="s">
        <v>7</v>
      </c>
      <c r="K443" s="10"/>
      <c r="L443" s="10"/>
      <c r="M443" s="10"/>
      <c r="N443" t="str">
        <f>IFERROR(VLOOKUP(D443, Fornecedores!A:B, 2, FALSE), "")</f>
        <v>Nova Era Mineracao Ltda</v>
      </c>
    </row>
    <row r="444" spans="1:14" ht="11.85" customHeight="1" x14ac:dyDescent="0.2">
      <c r="A444" s="8">
        <v>46253</v>
      </c>
      <c r="B444" s="8"/>
      <c r="C444" s="7">
        <v>1025</v>
      </c>
      <c r="D444" s="4">
        <v>526</v>
      </c>
      <c r="E444" s="2">
        <v>323.58999999999997</v>
      </c>
      <c r="G444" s="9">
        <v>0</v>
      </c>
      <c r="H444" s="9"/>
      <c r="J444" s="10" t="s">
        <v>7</v>
      </c>
      <c r="K444" s="10"/>
      <c r="L444" s="10"/>
      <c r="M444" s="10"/>
      <c r="N444" t="str">
        <f>IFERROR(VLOOKUP(D444, Fornecedores!A:B, 2, FALSE), "")</f>
        <v>FERPAM COM. DE FERRAMENTAS PARAFUSOS E MAQUINAS LTDA</v>
      </c>
    </row>
    <row r="445" spans="1:14" ht="11.85" customHeight="1" x14ac:dyDescent="0.2">
      <c r="A445" s="8">
        <v>46253</v>
      </c>
      <c r="B445" s="8"/>
      <c r="C445" s="7">
        <v>1021</v>
      </c>
      <c r="D445" s="4">
        <v>526</v>
      </c>
      <c r="E445" s="2">
        <v>238.78</v>
      </c>
      <c r="G445" s="9">
        <v>0</v>
      </c>
      <c r="H445" s="9"/>
      <c r="J445" s="10" t="s">
        <v>7</v>
      </c>
      <c r="K445" s="10"/>
      <c r="L445" s="10"/>
      <c r="M445" s="10"/>
      <c r="N445" t="str">
        <f>IFERROR(VLOOKUP(D445, Fornecedores!A:B, 2, FALSE), "")</f>
        <v>FERPAM COM. DE FERRAMENTAS PARAFUSOS E MAQUINAS LTDA</v>
      </c>
    </row>
    <row r="446" spans="1:14" ht="11.85" customHeight="1" x14ac:dyDescent="0.2">
      <c r="A446" s="8">
        <v>46253</v>
      </c>
      <c r="B446" s="8"/>
      <c r="C446" s="7">
        <v>1638</v>
      </c>
      <c r="D446" s="4">
        <v>532</v>
      </c>
      <c r="E446" s="2">
        <v>120545.81</v>
      </c>
      <c r="G446" s="9">
        <v>0</v>
      </c>
      <c r="H446" s="9"/>
      <c r="J446" s="10" t="s">
        <v>7</v>
      </c>
      <c r="K446" s="10"/>
      <c r="L446" s="10"/>
      <c r="M446" s="10"/>
      <c r="N446" t="str">
        <f>IFERROR(VLOOKUP(D446, Fornecedores!A:B, 2, FALSE), "")</f>
        <v>FL RODRIGUES E CIA LTDA</v>
      </c>
    </row>
    <row r="447" spans="1:14" ht="11.85" customHeight="1" x14ac:dyDescent="0.2">
      <c r="A447" s="8">
        <v>46253</v>
      </c>
      <c r="B447" s="8"/>
      <c r="C447" s="7">
        <v>1025</v>
      </c>
      <c r="D447" s="4">
        <v>556</v>
      </c>
      <c r="E447" s="2">
        <v>2925.23</v>
      </c>
      <c r="G447" s="9">
        <v>0</v>
      </c>
      <c r="H447" s="9"/>
      <c r="J447" s="10" t="s">
        <v>7</v>
      </c>
      <c r="K447" s="10"/>
      <c r="L447" s="10"/>
      <c r="M447" s="10"/>
      <c r="N447" t="str">
        <f>IFERROR(VLOOKUP(D447, Fornecedores!A:B, 2, FALSE), "")</f>
        <v>FERRAGENS NEGRAO COM LTDA - TO</v>
      </c>
    </row>
    <row r="448" spans="1:14" ht="11.85" customHeight="1" x14ac:dyDescent="0.2">
      <c r="A448" s="8">
        <v>46253</v>
      </c>
      <c r="B448" s="8"/>
      <c r="C448" s="7">
        <v>1020</v>
      </c>
      <c r="D448" s="4">
        <v>1327</v>
      </c>
      <c r="E448" s="2">
        <v>595.49</v>
      </c>
      <c r="G448" s="9">
        <v>0</v>
      </c>
      <c r="H448" s="9"/>
      <c r="J448" s="10" t="s">
        <v>7</v>
      </c>
      <c r="K448" s="10"/>
      <c r="L448" s="10"/>
      <c r="M448" s="10"/>
      <c r="N448" t="str">
        <f>IFERROR(VLOOKUP(D448, Fornecedores!A:B, 2, FALSE), "")</f>
        <v>METALURGICA DO NORTE LTDA - EPP</v>
      </c>
    </row>
    <row r="449" spans="1:14" ht="11.85" customHeight="1" x14ac:dyDescent="0.2">
      <c r="A449" s="8">
        <v>46253</v>
      </c>
      <c r="B449" s="8"/>
      <c r="C449" s="7">
        <v>1185</v>
      </c>
      <c r="D449" s="4">
        <v>1363</v>
      </c>
      <c r="E449" s="2">
        <v>25460.639999999999</v>
      </c>
      <c r="G449" s="9">
        <v>0</v>
      </c>
      <c r="H449" s="9"/>
      <c r="J449" s="10" t="s">
        <v>7</v>
      </c>
      <c r="K449" s="10"/>
      <c r="L449" s="10"/>
      <c r="M449" s="10"/>
      <c r="N449" t="str">
        <f>IFERROR(VLOOKUP(D449, Fornecedores!A:B, 2, FALSE), "")</f>
        <v>LOCGO PALMAS LOCADORA DE EQUIPAMENTOS PARA CONSTRUCAO LTDA</v>
      </c>
    </row>
    <row r="450" spans="1:14" ht="11.85" customHeight="1" x14ac:dyDescent="0.2">
      <c r="A450" s="8">
        <v>46253</v>
      </c>
      <c r="B450" s="8"/>
      <c r="C450" s="7">
        <v>916</v>
      </c>
      <c r="D450" s="4">
        <v>1376</v>
      </c>
      <c r="E450" s="2">
        <v>2380</v>
      </c>
      <c r="G450" s="9">
        <v>0</v>
      </c>
      <c r="H450" s="9"/>
      <c r="J450" s="10" t="s">
        <v>7</v>
      </c>
      <c r="K450" s="10"/>
      <c r="L450" s="10"/>
      <c r="M450" s="10"/>
      <c r="N450" t="str">
        <f>IFERROR(VLOOKUP(D450, Fornecedores!A:B, 2, FALSE), "")</f>
        <v>E R SOUSA FILHO LTDA</v>
      </c>
    </row>
    <row r="451" spans="1:14" ht="11.85" customHeight="1" x14ac:dyDescent="0.2">
      <c r="A451" s="8">
        <v>46253</v>
      </c>
      <c r="B451" s="8"/>
      <c r="C451" s="7">
        <v>1024</v>
      </c>
      <c r="D451" s="4">
        <v>1376</v>
      </c>
      <c r="E451" s="2">
        <v>255.52</v>
      </c>
      <c r="G451" s="9">
        <v>0</v>
      </c>
      <c r="H451" s="9"/>
      <c r="J451" s="10" t="s">
        <v>7</v>
      </c>
      <c r="K451" s="10"/>
      <c r="L451" s="10"/>
      <c r="M451" s="10"/>
      <c r="N451" t="str">
        <f>IFERROR(VLOOKUP(D451, Fornecedores!A:B, 2, FALSE), "")</f>
        <v>E R SOUSA FILHO LTDA</v>
      </c>
    </row>
    <row r="452" spans="1:14" ht="11.85" customHeight="1" x14ac:dyDescent="0.2">
      <c r="A452" s="8">
        <v>46253</v>
      </c>
      <c r="B452" s="8"/>
      <c r="C452" s="7">
        <v>1764</v>
      </c>
      <c r="D452" s="4">
        <v>1433</v>
      </c>
      <c r="E452" s="2">
        <v>49962.38</v>
      </c>
      <c r="G452" s="9">
        <v>0</v>
      </c>
      <c r="H452" s="9"/>
      <c r="J452" s="10" t="s">
        <v>7</v>
      </c>
      <c r="K452" s="10"/>
      <c r="L452" s="10"/>
      <c r="M452" s="10"/>
      <c r="N452" t="str">
        <f>IFERROR(VLOOKUP(D452, Fornecedores!A:B, 2, FALSE), "")</f>
        <v>Construpiso Com. de materiais p/ constr. LTDA-EPP</v>
      </c>
    </row>
    <row r="453" spans="1:14" ht="11.85" customHeight="1" x14ac:dyDescent="0.2">
      <c r="A453" s="8">
        <v>46253</v>
      </c>
      <c r="B453" s="8"/>
      <c r="C453" s="7">
        <v>1021</v>
      </c>
      <c r="D453" s="4">
        <v>1490</v>
      </c>
      <c r="E453" s="2">
        <v>2234.5500000000002</v>
      </c>
      <c r="G453" s="9">
        <v>0</v>
      </c>
      <c r="H453" s="9"/>
      <c r="J453" s="10" t="s">
        <v>7</v>
      </c>
      <c r="K453" s="10"/>
      <c r="L453" s="10"/>
      <c r="M453" s="10"/>
      <c r="N453" t="str">
        <f>IFERROR(VLOOKUP(D453, Fornecedores!A:B, 2, FALSE), "")</f>
        <v>BIG DISTRIBUIDORA DE MATERIAIS DE CONSTRUCAO LTDA</v>
      </c>
    </row>
    <row r="454" spans="1:14" ht="11.85" customHeight="1" x14ac:dyDescent="0.2">
      <c r="A454" s="8">
        <v>46253</v>
      </c>
      <c r="B454" s="8"/>
      <c r="C454" s="7">
        <v>2134</v>
      </c>
      <c r="D454" s="4">
        <v>1573</v>
      </c>
      <c r="E454" s="2">
        <v>15228</v>
      </c>
      <c r="G454" s="9">
        <v>0</v>
      </c>
      <c r="H454" s="9"/>
      <c r="J454" s="10" t="s">
        <v>7</v>
      </c>
      <c r="K454" s="10"/>
      <c r="L454" s="10"/>
      <c r="M454" s="10"/>
      <c r="N454" t="str">
        <f>IFERROR(VLOOKUP(D454, Fornecedores!A:B, 2, FALSE), "")</f>
        <v>FERROTEC DISTRIBUIDORA DE FERRO E ACO LTDA.</v>
      </c>
    </row>
    <row r="455" spans="1:14" ht="11.85" customHeight="1" x14ac:dyDescent="0.2">
      <c r="A455" s="8">
        <v>46253</v>
      </c>
      <c r="B455" s="8"/>
      <c r="C455" s="7">
        <v>912</v>
      </c>
      <c r="D455" s="4">
        <v>1573</v>
      </c>
      <c r="E455" s="2">
        <v>400</v>
      </c>
      <c r="G455" s="9">
        <v>0</v>
      </c>
      <c r="H455" s="9"/>
      <c r="J455" s="10" t="s">
        <v>7</v>
      </c>
      <c r="K455" s="10"/>
      <c r="L455" s="10"/>
      <c r="M455" s="10"/>
      <c r="N455" t="str">
        <f>IFERROR(VLOOKUP(D455, Fornecedores!A:B, 2, FALSE), "")</f>
        <v>FERROTEC DISTRIBUIDORA DE FERRO E ACO LTDA.</v>
      </c>
    </row>
    <row r="456" spans="1:14" ht="11.85" customHeight="1" x14ac:dyDescent="0.2">
      <c r="A456" s="8">
        <v>46253</v>
      </c>
      <c r="B456" s="8"/>
      <c r="C456" s="7">
        <v>1027</v>
      </c>
      <c r="D456" s="4">
        <v>1582</v>
      </c>
      <c r="E456" s="2">
        <v>126.24</v>
      </c>
      <c r="G456" s="9">
        <v>0</v>
      </c>
      <c r="H456" s="9"/>
      <c r="J456" s="10" t="s">
        <v>7</v>
      </c>
      <c r="K456" s="10"/>
      <c r="L456" s="10"/>
      <c r="M456" s="10"/>
      <c r="N456" t="str">
        <f>IFERROR(VLOOKUP(D456, Fornecedores!A:B, 2, FALSE), "")</f>
        <v>LUIZ RICARDO PEREIRA MORAIS COMERCIO</v>
      </c>
    </row>
    <row r="457" spans="1:14" ht="11.85" customHeight="1" x14ac:dyDescent="0.2">
      <c r="A457" s="8">
        <v>46253</v>
      </c>
      <c r="B457" s="8"/>
      <c r="C457" s="7">
        <v>1027</v>
      </c>
      <c r="D457" s="4">
        <v>1617</v>
      </c>
      <c r="E457" s="2">
        <v>292.74</v>
      </c>
      <c r="G457" s="9">
        <v>0</v>
      </c>
      <c r="H457" s="9"/>
      <c r="J457" s="10" t="s">
        <v>7</v>
      </c>
      <c r="K457" s="10"/>
      <c r="L457" s="10"/>
      <c r="M457" s="10"/>
      <c r="N457" t="str">
        <f>IFERROR(VLOOKUP(D457, Fornecedores!A:B, 2, FALSE), "")</f>
        <v>FABIANO COM ATAC DE FERRAMENTAS E MAT DE CONS LTDA</v>
      </c>
    </row>
    <row r="458" spans="1:14" ht="11.85" customHeight="1" x14ac:dyDescent="0.2">
      <c r="A458" s="8">
        <v>46253</v>
      </c>
      <c r="B458" s="8"/>
      <c r="C458" s="7">
        <v>1027</v>
      </c>
      <c r="D458" s="4">
        <v>1706</v>
      </c>
      <c r="E458" s="2">
        <v>3865.91</v>
      </c>
      <c r="G458" s="9">
        <v>0</v>
      </c>
      <c r="H458" s="9"/>
      <c r="J458" s="10" t="s">
        <v>7</v>
      </c>
      <c r="K458" s="10"/>
      <c r="L458" s="10"/>
      <c r="M458" s="10"/>
      <c r="N458" t="str">
        <f>IFERROR(VLOOKUP(D458, Fornecedores!A:B, 2, FALSE), "")</f>
        <v>Dexco S.A.</v>
      </c>
    </row>
    <row r="459" spans="1:14" ht="11.85" customHeight="1" x14ac:dyDescent="0.2">
      <c r="A459" s="8">
        <v>46253</v>
      </c>
      <c r="B459" s="8"/>
      <c r="C459" s="7">
        <v>983</v>
      </c>
      <c r="D459" s="4">
        <v>1712</v>
      </c>
      <c r="E459" s="2">
        <v>528</v>
      </c>
      <c r="G459" s="9">
        <v>0</v>
      </c>
      <c r="H459" s="9"/>
      <c r="J459" s="10" t="s">
        <v>7</v>
      </c>
      <c r="K459" s="10"/>
      <c r="L459" s="10"/>
      <c r="M459" s="10"/>
      <c r="N459" t="str">
        <f>IFERROR(VLOOKUP(D459, Fornecedores!A:B, 2, FALSE), "")</f>
        <v>ATIVA MATERIAIS ELETRICOS LTDA</v>
      </c>
    </row>
    <row r="460" spans="1:14" ht="11.85" customHeight="1" x14ac:dyDescent="0.2">
      <c r="A460" s="8">
        <v>46253</v>
      </c>
      <c r="B460" s="8"/>
      <c r="C460" s="7">
        <v>1856</v>
      </c>
      <c r="D460" s="4">
        <v>1807</v>
      </c>
      <c r="E460" s="2">
        <v>2664.24</v>
      </c>
      <c r="G460" s="9">
        <v>0</v>
      </c>
      <c r="H460" s="9"/>
      <c r="J460" s="10" t="s">
        <v>7</v>
      </c>
      <c r="K460" s="10"/>
      <c r="L460" s="10"/>
      <c r="M460" s="10"/>
      <c r="N460" t="str">
        <f>IFERROR(VLOOKUP(D460, Fornecedores!A:B, 2, FALSE), "")</f>
        <v>KINGSPAN-ISOESTE CONSTRUTIVOS ISOTERMICOS S/A</v>
      </c>
    </row>
    <row r="461" spans="1:14" ht="11.85" customHeight="1" x14ac:dyDescent="0.2">
      <c r="A461" s="8">
        <v>46253</v>
      </c>
      <c r="B461" s="8"/>
      <c r="C461" s="7">
        <v>2021</v>
      </c>
      <c r="D461" s="4">
        <v>2086</v>
      </c>
      <c r="E461" s="2">
        <v>1710</v>
      </c>
      <c r="G461" s="9">
        <v>0</v>
      </c>
      <c r="H461" s="9"/>
      <c r="J461" s="10" t="s">
        <v>7</v>
      </c>
      <c r="K461" s="10"/>
      <c r="L461" s="10"/>
      <c r="M461" s="10"/>
      <c r="N461" t="str">
        <f>IFERROR(VLOOKUP(D461, Fornecedores!A:B, 2, FALSE), "")</f>
        <v>PREMOLTINS CONSTRUCOES E PREMOLDADOS LTDA</v>
      </c>
    </row>
    <row r="462" spans="1:14" ht="11.85" customHeight="1" x14ac:dyDescent="0.2">
      <c r="A462" s="8">
        <v>46254</v>
      </c>
      <c r="B462" s="8"/>
      <c r="C462" s="7">
        <v>1021</v>
      </c>
      <c r="D462" s="4">
        <v>5</v>
      </c>
      <c r="E462" s="2">
        <v>345.66</v>
      </c>
      <c r="G462" s="9">
        <v>0</v>
      </c>
      <c r="H462" s="9"/>
      <c r="J462" s="10" t="s">
        <v>7</v>
      </c>
      <c r="K462" s="10"/>
      <c r="L462" s="10"/>
      <c r="M462" s="10"/>
      <c r="N462" t="str">
        <f>IFERROR(VLOOKUP(D462, Fornecedores!A:B, 2, FALSE), "")</f>
        <v/>
      </c>
    </row>
    <row r="463" spans="1:14" ht="11.85" customHeight="1" x14ac:dyDescent="0.2">
      <c r="A463" s="8">
        <v>46254</v>
      </c>
      <c r="B463" s="8"/>
      <c r="C463" s="7">
        <v>1021</v>
      </c>
      <c r="D463" s="4">
        <v>5</v>
      </c>
      <c r="E463" s="2">
        <v>172.34</v>
      </c>
      <c r="G463" s="9">
        <v>0</v>
      </c>
      <c r="H463" s="9"/>
      <c r="J463" s="10" t="s">
        <v>7</v>
      </c>
      <c r="K463" s="10"/>
      <c r="L463" s="10"/>
      <c r="M463" s="10"/>
      <c r="N463" t="str">
        <f>IFERROR(VLOOKUP(D463, Fornecedores!A:B, 2, FALSE), "")</f>
        <v/>
      </c>
    </row>
    <row r="464" spans="1:14" ht="11.85" customHeight="1" x14ac:dyDescent="0.2">
      <c r="A464" s="8">
        <v>46254</v>
      </c>
      <c r="B464" s="8"/>
      <c r="C464" s="7">
        <v>1021</v>
      </c>
      <c r="D464" s="4">
        <v>5</v>
      </c>
      <c r="E464" s="2">
        <v>46</v>
      </c>
      <c r="G464" s="9">
        <v>0</v>
      </c>
      <c r="H464" s="9"/>
      <c r="J464" s="10" t="s">
        <v>7</v>
      </c>
      <c r="K464" s="10"/>
      <c r="L464" s="10"/>
      <c r="M464" s="10"/>
      <c r="N464" t="str">
        <f>IFERROR(VLOOKUP(D464, Fornecedores!A:B, 2, FALSE), "")</f>
        <v/>
      </c>
    </row>
    <row r="465" spans="1:14" ht="11.85" customHeight="1" x14ac:dyDescent="0.2">
      <c r="A465" s="8">
        <v>46254</v>
      </c>
      <c r="B465" s="8"/>
      <c r="C465" s="7">
        <v>1021</v>
      </c>
      <c r="D465" s="4">
        <v>5</v>
      </c>
      <c r="E465" s="2">
        <v>49.5</v>
      </c>
      <c r="G465" s="9">
        <v>0</v>
      </c>
      <c r="H465" s="9"/>
      <c r="J465" s="10" t="s">
        <v>7</v>
      </c>
      <c r="K465" s="10"/>
      <c r="L465" s="10"/>
      <c r="M465" s="10"/>
      <c r="N465" t="str">
        <f>IFERROR(VLOOKUP(D465, Fornecedores!A:B, 2, FALSE), "")</f>
        <v/>
      </c>
    </row>
    <row r="466" spans="1:14" ht="11.85" customHeight="1" x14ac:dyDescent="0.2">
      <c r="A466" s="8">
        <v>46254</v>
      </c>
      <c r="B466" s="8"/>
      <c r="C466" s="7">
        <v>1021</v>
      </c>
      <c r="D466" s="4">
        <v>5</v>
      </c>
      <c r="E466" s="2">
        <v>355</v>
      </c>
      <c r="G466" s="9">
        <v>0</v>
      </c>
      <c r="H466" s="9"/>
      <c r="J466" s="10" t="s">
        <v>7</v>
      </c>
      <c r="K466" s="10"/>
      <c r="L466" s="10"/>
      <c r="M466" s="10"/>
      <c r="N466" t="str">
        <f>IFERROR(VLOOKUP(D466, Fornecedores!A:B, 2, FALSE), "")</f>
        <v/>
      </c>
    </row>
    <row r="467" spans="1:14" ht="11.85" customHeight="1" x14ac:dyDescent="0.2">
      <c r="A467" s="8">
        <v>46254</v>
      </c>
      <c r="B467" s="8"/>
      <c r="C467" s="7">
        <v>1021</v>
      </c>
      <c r="D467" s="4">
        <v>5</v>
      </c>
      <c r="E467" s="2">
        <v>42.52</v>
      </c>
      <c r="G467" s="9">
        <v>0</v>
      </c>
      <c r="H467" s="9"/>
      <c r="J467" s="10" t="s">
        <v>7</v>
      </c>
      <c r="K467" s="10"/>
      <c r="L467" s="10"/>
      <c r="M467" s="10"/>
      <c r="N467" t="str">
        <f>IFERROR(VLOOKUP(D467, Fornecedores!A:B, 2, FALSE), "")</f>
        <v/>
      </c>
    </row>
    <row r="468" spans="1:14" ht="11.85" customHeight="1" x14ac:dyDescent="0.2">
      <c r="A468" s="8">
        <v>46254</v>
      </c>
      <c r="B468" s="8"/>
      <c r="C468" s="7">
        <v>1021</v>
      </c>
      <c r="D468" s="4">
        <v>5</v>
      </c>
      <c r="E468" s="2">
        <v>166</v>
      </c>
      <c r="G468" s="9">
        <v>0</v>
      </c>
      <c r="H468" s="9"/>
      <c r="J468" s="10" t="s">
        <v>7</v>
      </c>
      <c r="K468" s="10"/>
      <c r="L468" s="10"/>
      <c r="M468" s="10"/>
      <c r="N468" t="str">
        <f>IFERROR(VLOOKUP(D468, Fornecedores!A:B, 2, FALSE), "")</f>
        <v/>
      </c>
    </row>
    <row r="469" spans="1:14" ht="11.85" customHeight="1" x14ac:dyDescent="0.2">
      <c r="A469" s="8">
        <v>46254</v>
      </c>
      <c r="B469" s="8"/>
      <c r="C469" s="7">
        <v>1021</v>
      </c>
      <c r="D469" s="4">
        <v>5</v>
      </c>
      <c r="E469" s="2">
        <v>236</v>
      </c>
      <c r="G469" s="9">
        <v>0</v>
      </c>
      <c r="H469" s="9"/>
      <c r="J469" s="10" t="s">
        <v>7</v>
      </c>
      <c r="K469" s="10"/>
      <c r="L469" s="10"/>
      <c r="M469" s="10"/>
      <c r="N469" t="str">
        <f>IFERROR(VLOOKUP(D469, Fornecedores!A:B, 2, FALSE), "")</f>
        <v/>
      </c>
    </row>
    <row r="470" spans="1:14" ht="11.85" customHeight="1" x14ac:dyDescent="0.2">
      <c r="A470" s="8">
        <v>46254</v>
      </c>
      <c r="B470" s="8"/>
      <c r="C470" s="7">
        <v>1021</v>
      </c>
      <c r="D470" s="4">
        <v>5</v>
      </c>
      <c r="E470" s="2">
        <v>132</v>
      </c>
      <c r="G470" s="9">
        <v>0</v>
      </c>
      <c r="H470" s="9"/>
      <c r="J470" s="10" t="s">
        <v>7</v>
      </c>
      <c r="K470" s="10"/>
      <c r="L470" s="10"/>
      <c r="M470" s="10"/>
      <c r="N470" t="str">
        <f>IFERROR(VLOOKUP(D470, Fornecedores!A:B, 2, FALSE), "")</f>
        <v/>
      </c>
    </row>
    <row r="471" spans="1:14" ht="11.85" customHeight="1" x14ac:dyDescent="0.2">
      <c r="A471" s="8">
        <v>46254</v>
      </c>
      <c r="B471" s="8"/>
      <c r="C471" s="7">
        <v>272</v>
      </c>
      <c r="D471" s="4">
        <v>5</v>
      </c>
      <c r="E471" s="2">
        <v>660.77</v>
      </c>
      <c r="G471" s="9">
        <v>0</v>
      </c>
      <c r="H471" s="9"/>
      <c r="J471" s="10" t="s">
        <v>7</v>
      </c>
      <c r="K471" s="10"/>
      <c r="L471" s="10"/>
      <c r="M471" s="10"/>
      <c r="N471" t="str">
        <f>IFERROR(VLOOKUP(D471, Fornecedores!A:B, 2, FALSE), "")</f>
        <v/>
      </c>
    </row>
    <row r="472" spans="1:14" ht="11.85" customHeight="1" x14ac:dyDescent="0.2">
      <c r="A472" s="8">
        <v>46254</v>
      </c>
      <c r="B472" s="8"/>
      <c r="C472" s="7">
        <v>2045</v>
      </c>
      <c r="D472" s="4">
        <v>5</v>
      </c>
      <c r="E472" s="2">
        <v>7969.68</v>
      </c>
      <c r="G472" s="9">
        <v>0</v>
      </c>
      <c r="H472" s="9"/>
      <c r="J472" s="10" t="s">
        <v>7</v>
      </c>
      <c r="K472" s="10"/>
      <c r="L472" s="10"/>
      <c r="M472" s="10"/>
      <c r="N472" t="str">
        <f>IFERROR(VLOOKUP(D472, Fornecedores!A:B, 2, FALSE), "")</f>
        <v/>
      </c>
    </row>
    <row r="473" spans="1:14" ht="11.85" customHeight="1" x14ac:dyDescent="0.2">
      <c r="A473" s="8">
        <v>46254</v>
      </c>
      <c r="B473" s="8"/>
      <c r="C473" s="7">
        <v>2106</v>
      </c>
      <c r="D473" s="4">
        <v>5</v>
      </c>
      <c r="E473" s="2">
        <v>772.5</v>
      </c>
      <c r="G473" s="9">
        <v>0</v>
      </c>
      <c r="H473" s="9"/>
      <c r="J473" s="10" t="s">
        <v>7</v>
      </c>
      <c r="K473" s="10"/>
      <c r="L473" s="10"/>
      <c r="M473" s="10"/>
      <c r="N473" t="str">
        <f>IFERROR(VLOOKUP(D473, Fornecedores!A:B, 2, FALSE), "")</f>
        <v/>
      </c>
    </row>
    <row r="474" spans="1:14" ht="11.85" customHeight="1" x14ac:dyDescent="0.2">
      <c r="A474" s="8">
        <v>46254</v>
      </c>
      <c r="B474" s="8"/>
      <c r="C474" s="7">
        <v>2250</v>
      </c>
      <c r="D474" s="4">
        <v>5</v>
      </c>
      <c r="E474" s="2">
        <v>721</v>
      </c>
      <c r="G474" s="9">
        <v>0</v>
      </c>
      <c r="H474" s="9"/>
      <c r="J474" s="10" t="s">
        <v>7</v>
      </c>
      <c r="K474" s="10"/>
      <c r="L474" s="10"/>
      <c r="M474" s="10"/>
      <c r="N474" t="str">
        <f>IFERROR(VLOOKUP(D474, Fornecedores!A:B, 2, FALSE), "")</f>
        <v/>
      </c>
    </row>
    <row r="475" spans="1:14" ht="11.85" customHeight="1" x14ac:dyDescent="0.2">
      <c r="A475" s="8">
        <v>46254</v>
      </c>
      <c r="B475" s="8"/>
      <c r="C475" s="7">
        <v>2044</v>
      </c>
      <c r="D475" s="4">
        <v>5</v>
      </c>
      <c r="E475" s="2">
        <v>515</v>
      </c>
      <c r="G475" s="9">
        <v>0</v>
      </c>
      <c r="H475" s="9"/>
      <c r="J475" s="10" t="s">
        <v>7</v>
      </c>
      <c r="K475" s="10"/>
      <c r="L475" s="10"/>
      <c r="M475" s="10"/>
      <c r="N475" t="str">
        <f>IFERROR(VLOOKUP(D475, Fornecedores!A:B, 2, FALSE), "")</f>
        <v/>
      </c>
    </row>
    <row r="476" spans="1:14" ht="11.85" customHeight="1" x14ac:dyDescent="0.2">
      <c r="A476" s="8">
        <v>46254</v>
      </c>
      <c r="B476" s="8"/>
      <c r="C476" s="7">
        <v>2133</v>
      </c>
      <c r="D476" s="4">
        <v>514</v>
      </c>
      <c r="E476" s="2">
        <v>960</v>
      </c>
      <c r="G476" s="9">
        <v>0</v>
      </c>
      <c r="H476" s="9"/>
      <c r="J476" s="10" t="s">
        <v>7</v>
      </c>
      <c r="K476" s="10"/>
      <c r="L476" s="10"/>
      <c r="M476" s="10"/>
      <c r="N476" t="str">
        <f>IFERROR(VLOOKUP(D476, Fornecedores!A:B, 2, FALSE), "")</f>
        <v>Nova Era Mineracao Ltda</v>
      </c>
    </row>
    <row r="477" spans="1:14" ht="11.85" customHeight="1" x14ac:dyDescent="0.2">
      <c r="A477" s="8">
        <v>46254</v>
      </c>
      <c r="B477" s="8"/>
      <c r="C477" s="7">
        <v>1025</v>
      </c>
      <c r="D477" s="4">
        <v>520</v>
      </c>
      <c r="E477" s="2">
        <v>186.56</v>
      </c>
      <c r="G477" s="9">
        <v>0</v>
      </c>
      <c r="H477" s="9"/>
      <c r="J477" s="10" t="s">
        <v>7</v>
      </c>
      <c r="K477" s="10"/>
      <c r="L477" s="10"/>
      <c r="M477" s="10"/>
      <c r="N477" t="str">
        <f>IFERROR(VLOOKUP(D477, Fornecedores!A:B, 2, FALSE), "")</f>
        <v>RENACOR COM. DE TINTAS LTDA (TAQUARALTO)</v>
      </c>
    </row>
    <row r="478" spans="1:14" ht="11.85" customHeight="1" x14ac:dyDescent="0.2">
      <c r="A478" s="8">
        <v>46254</v>
      </c>
      <c r="B478" s="8"/>
      <c r="C478" s="7">
        <v>2138</v>
      </c>
      <c r="D478" s="4">
        <v>526</v>
      </c>
      <c r="E478" s="2">
        <v>799.2</v>
      </c>
      <c r="G478" s="9">
        <v>0</v>
      </c>
      <c r="H478" s="9"/>
      <c r="J478" s="10" t="s">
        <v>7</v>
      </c>
      <c r="K478" s="10"/>
      <c r="L478" s="10"/>
      <c r="M478" s="10"/>
      <c r="N478" t="str">
        <f>IFERROR(VLOOKUP(D478, Fornecedores!A:B, 2, FALSE), "")</f>
        <v>FERPAM COM. DE FERRAMENTAS PARAFUSOS E MAQUINAS LTDA</v>
      </c>
    </row>
    <row r="479" spans="1:14" ht="11.85" customHeight="1" x14ac:dyDescent="0.2">
      <c r="A479" s="8">
        <v>46254</v>
      </c>
      <c r="B479" s="8"/>
      <c r="C479" s="7">
        <v>906</v>
      </c>
      <c r="D479" s="4">
        <v>537</v>
      </c>
      <c r="E479" s="2">
        <v>875</v>
      </c>
      <c r="G479" s="9">
        <v>0</v>
      </c>
      <c r="H479" s="9"/>
      <c r="J479" s="10" t="s">
        <v>7</v>
      </c>
      <c r="K479" s="10"/>
      <c r="L479" s="10"/>
      <c r="M479" s="10"/>
      <c r="N479" t="str">
        <f>IFERROR(VLOOKUP(D479, Fornecedores!A:B, 2, FALSE), "")</f>
        <v>ENGSIK IMPERMEABILIZACOES EIRELI - EPP</v>
      </c>
    </row>
    <row r="480" spans="1:14" ht="11.85" customHeight="1" x14ac:dyDescent="0.2">
      <c r="A480" s="8">
        <v>46254</v>
      </c>
      <c r="B480" s="8"/>
      <c r="C480" s="7">
        <v>923</v>
      </c>
      <c r="D480" s="4">
        <v>1351</v>
      </c>
      <c r="E480" s="2">
        <v>11427.86</v>
      </c>
      <c r="G480" s="9">
        <v>0</v>
      </c>
      <c r="H480" s="9"/>
      <c r="J480" s="10" t="s">
        <v>7</v>
      </c>
      <c r="K480" s="10"/>
      <c r="L480" s="10"/>
      <c r="M480" s="10"/>
      <c r="N480" t="str">
        <f>IFERROR(VLOOKUP(D480, Fornecedores!A:B, 2, FALSE), "")</f>
        <v>F. BEZ DISTRIBUIDORA LTDA</v>
      </c>
    </row>
    <row r="481" spans="1:14" ht="11.85" customHeight="1" x14ac:dyDescent="0.2">
      <c r="A481" s="8">
        <v>46254</v>
      </c>
      <c r="B481" s="8"/>
      <c r="C481" s="7">
        <v>1027</v>
      </c>
      <c r="D481" s="4">
        <v>1422</v>
      </c>
      <c r="E481" s="2">
        <v>607.5</v>
      </c>
      <c r="G481" s="9">
        <v>0</v>
      </c>
      <c r="H481" s="9"/>
      <c r="J481" s="10" t="s">
        <v>7</v>
      </c>
      <c r="K481" s="10"/>
      <c r="L481" s="10"/>
      <c r="M481" s="10"/>
      <c r="N481" t="str">
        <f>IFERROR(VLOOKUP(D481, Fornecedores!A:B, 2, FALSE), "")</f>
        <v>FORTBRAS AUTOPECAS SA - JAICAR14</v>
      </c>
    </row>
    <row r="482" spans="1:14" ht="11.85" customHeight="1" x14ac:dyDescent="0.2">
      <c r="A482" s="8">
        <v>46254</v>
      </c>
      <c r="B482" s="8"/>
      <c r="C482" s="7">
        <v>919</v>
      </c>
      <c r="D482" s="4">
        <v>1617</v>
      </c>
      <c r="E482" s="2">
        <v>383.31</v>
      </c>
      <c r="G482" s="9">
        <v>0</v>
      </c>
      <c r="H482" s="9"/>
      <c r="J482" s="10" t="s">
        <v>7</v>
      </c>
      <c r="K482" s="10"/>
      <c r="L482" s="10"/>
      <c r="M482" s="10"/>
      <c r="N482" t="str">
        <f>IFERROR(VLOOKUP(D482, Fornecedores!A:B, 2, FALSE), "")</f>
        <v>FABIANO COM ATAC DE FERRAMENTAS E MAT DE CONS LTDA</v>
      </c>
    </row>
    <row r="483" spans="1:14" ht="11.85" customHeight="1" x14ac:dyDescent="0.2">
      <c r="A483" s="8">
        <v>46254</v>
      </c>
      <c r="B483" s="8"/>
      <c r="C483" s="7">
        <v>1021</v>
      </c>
      <c r="D483" s="4">
        <v>1696</v>
      </c>
      <c r="E483" s="2">
        <v>9670</v>
      </c>
      <c r="G483" s="9">
        <v>0</v>
      </c>
      <c r="H483" s="9"/>
      <c r="J483" s="10" t="s">
        <v>7</v>
      </c>
      <c r="K483" s="10"/>
      <c r="L483" s="10"/>
      <c r="M483" s="10"/>
      <c r="N483" t="str">
        <f>IFERROR(VLOOKUP(D483, Fornecedores!A:B, 2, FALSE), "")</f>
        <v>E. C. P. DO NASCIMENTO - ME</v>
      </c>
    </row>
    <row r="484" spans="1:14" ht="11.85" customHeight="1" x14ac:dyDescent="0.2">
      <c r="A484" s="8">
        <v>46254</v>
      </c>
      <c r="B484" s="8"/>
      <c r="C484" s="7">
        <v>1027</v>
      </c>
      <c r="D484" s="4">
        <v>1706</v>
      </c>
      <c r="E484" s="2">
        <v>1527.97</v>
      </c>
      <c r="G484" s="9">
        <v>0</v>
      </c>
      <c r="H484" s="9"/>
      <c r="J484" s="10" t="s">
        <v>7</v>
      </c>
      <c r="K484" s="10"/>
      <c r="L484" s="10"/>
      <c r="M484" s="10"/>
      <c r="N484" t="str">
        <f>IFERROR(VLOOKUP(D484, Fornecedores!A:B, 2, FALSE), "")</f>
        <v>Dexco S.A.</v>
      </c>
    </row>
    <row r="485" spans="1:14" ht="11.85" customHeight="1" x14ac:dyDescent="0.2">
      <c r="A485" s="8">
        <v>46254</v>
      </c>
      <c r="B485" s="8"/>
      <c r="C485" s="7">
        <v>983</v>
      </c>
      <c r="D485" s="4">
        <v>1712</v>
      </c>
      <c r="E485" s="2">
        <v>44900</v>
      </c>
      <c r="G485" s="9">
        <v>0</v>
      </c>
      <c r="H485" s="9"/>
      <c r="J485" s="10" t="s">
        <v>7</v>
      </c>
      <c r="K485" s="10"/>
      <c r="L485" s="10"/>
      <c r="M485" s="10"/>
      <c r="N485" t="str">
        <f>IFERROR(VLOOKUP(D485, Fornecedores!A:B, 2, FALSE), "")</f>
        <v>ATIVA MATERIAIS ELETRICOS LTDA</v>
      </c>
    </row>
    <row r="486" spans="1:14" ht="11.85" customHeight="1" x14ac:dyDescent="0.2">
      <c r="A486" s="8">
        <v>46254</v>
      </c>
      <c r="B486" s="8"/>
      <c r="C486" s="7">
        <v>986</v>
      </c>
      <c r="D486" s="4">
        <v>1972</v>
      </c>
      <c r="E486" s="2">
        <v>8760</v>
      </c>
      <c r="G486" s="9">
        <v>0</v>
      </c>
      <c r="H486" s="9"/>
      <c r="J486" s="10" t="s">
        <v>7</v>
      </c>
      <c r="K486" s="10"/>
      <c r="L486" s="10"/>
      <c r="M486" s="10"/>
      <c r="N486" t="str">
        <f>IFERROR(VLOOKUP(D486, Fornecedores!A:B, 2, FALSE), "")</f>
        <v>AROS COMERCIO DE TINTAS LTDA</v>
      </c>
    </row>
    <row r="487" spans="1:14" ht="11.85" customHeight="1" x14ac:dyDescent="0.2">
      <c r="A487" s="8">
        <v>46254</v>
      </c>
      <c r="B487" s="8"/>
      <c r="C487" s="7">
        <v>986</v>
      </c>
      <c r="D487" s="4">
        <v>1972</v>
      </c>
      <c r="E487" s="2">
        <v>900</v>
      </c>
      <c r="G487" s="9">
        <v>0</v>
      </c>
      <c r="H487" s="9"/>
      <c r="J487" s="10" t="s">
        <v>7</v>
      </c>
      <c r="K487" s="10"/>
      <c r="L487" s="10"/>
      <c r="M487" s="10"/>
      <c r="N487" t="str">
        <f>IFERROR(VLOOKUP(D487, Fornecedores!A:B, 2, FALSE), "")</f>
        <v>AROS COMERCIO DE TINTAS LTDA</v>
      </c>
    </row>
    <row r="488" spans="1:14" ht="11.85" customHeight="1" x14ac:dyDescent="0.2">
      <c r="A488" s="8">
        <v>46254</v>
      </c>
      <c r="B488" s="8"/>
      <c r="C488" s="7">
        <v>986</v>
      </c>
      <c r="D488" s="4">
        <v>1972</v>
      </c>
      <c r="E488" s="2">
        <v>113</v>
      </c>
      <c r="G488" s="9">
        <v>0</v>
      </c>
      <c r="H488" s="9"/>
      <c r="J488" s="10" t="s">
        <v>7</v>
      </c>
      <c r="K488" s="10"/>
      <c r="L488" s="10"/>
      <c r="M488" s="10"/>
      <c r="N488" t="str">
        <f>IFERROR(VLOOKUP(D488, Fornecedores!A:B, 2, FALSE), "")</f>
        <v>AROS COMERCIO DE TINTAS LTDA</v>
      </c>
    </row>
    <row r="489" spans="1:14" ht="11.85" customHeight="1" x14ac:dyDescent="0.2">
      <c r="A489" s="8">
        <v>46254</v>
      </c>
      <c r="B489" s="8"/>
      <c r="C489" s="7">
        <v>986</v>
      </c>
      <c r="D489" s="4">
        <v>1972</v>
      </c>
      <c r="E489" s="2">
        <v>320</v>
      </c>
      <c r="G489" s="9">
        <v>0</v>
      </c>
      <c r="H489" s="9"/>
      <c r="J489" s="10" t="s">
        <v>7</v>
      </c>
      <c r="K489" s="10"/>
      <c r="L489" s="10"/>
      <c r="M489" s="10"/>
      <c r="N489" t="str">
        <f>IFERROR(VLOOKUP(D489, Fornecedores!A:B, 2, FALSE), "")</f>
        <v>AROS COMERCIO DE TINTAS LTDA</v>
      </c>
    </row>
    <row r="490" spans="1:14" ht="11.85" customHeight="1" x14ac:dyDescent="0.2">
      <c r="A490" s="8">
        <v>46254</v>
      </c>
      <c r="B490" s="8"/>
      <c r="C490" s="7">
        <v>1027</v>
      </c>
      <c r="D490" s="4">
        <v>2082</v>
      </c>
      <c r="E490" s="2">
        <v>151.55000000000001</v>
      </c>
      <c r="G490" s="9">
        <v>0</v>
      </c>
      <c r="H490" s="9"/>
      <c r="J490" s="10" t="s">
        <v>7</v>
      </c>
      <c r="K490" s="10"/>
      <c r="L490" s="10"/>
      <c r="M490" s="10"/>
      <c r="N490" t="str">
        <f>IFERROR(VLOOKUP(D490, Fornecedores!A:B, 2, FALSE), "")</f>
        <v>REMO MATERIAIS DE CONSTRUCAO LTDA</v>
      </c>
    </row>
    <row r="491" spans="1:14" ht="11.85" customHeight="1" x14ac:dyDescent="0.2">
      <c r="A491" s="8">
        <v>46254</v>
      </c>
      <c r="B491" s="8"/>
      <c r="C491" s="7">
        <v>1027</v>
      </c>
      <c r="D491" s="4">
        <v>2082</v>
      </c>
      <c r="E491" s="2">
        <v>37.1</v>
      </c>
      <c r="G491" s="9">
        <v>0</v>
      </c>
      <c r="H491" s="9"/>
      <c r="J491" s="10" t="s">
        <v>7</v>
      </c>
      <c r="K491" s="10"/>
      <c r="L491" s="10"/>
      <c r="M491" s="10"/>
      <c r="N491" t="str">
        <f>IFERROR(VLOOKUP(D491, Fornecedores!A:B, 2, FALSE), "")</f>
        <v>REMO MATERIAIS DE CONSTRUCAO LTDA</v>
      </c>
    </row>
    <row r="492" spans="1:14" ht="11.85" customHeight="1" x14ac:dyDescent="0.2">
      <c r="A492" s="8">
        <v>46254</v>
      </c>
      <c r="B492" s="8"/>
      <c r="C492" s="7">
        <v>1181</v>
      </c>
      <c r="D492" s="4">
        <v>2085</v>
      </c>
      <c r="E492" s="2">
        <v>194.05</v>
      </c>
      <c r="G492" s="9">
        <v>0</v>
      </c>
      <c r="H492" s="9"/>
      <c r="J492" s="10" t="s">
        <v>7</v>
      </c>
      <c r="K492" s="10"/>
      <c r="L492" s="10"/>
      <c r="M492" s="10"/>
      <c r="N492" t="str">
        <f>IFERROR(VLOOKUP(D492, Fornecedores!A:B, 2, FALSE), "")</f>
        <v>BRILHUSS PRODUTOS DE HIGIENE E LIMPEZA EIRELI - ME</v>
      </c>
    </row>
    <row r="493" spans="1:14" ht="11.85" customHeight="1" x14ac:dyDescent="0.2">
      <c r="A493" s="8">
        <v>46255</v>
      </c>
      <c r="B493" s="8"/>
      <c r="C493" s="7">
        <v>1027</v>
      </c>
      <c r="D493" s="4">
        <v>5</v>
      </c>
      <c r="E493" s="2">
        <v>508.78</v>
      </c>
      <c r="G493" s="9">
        <v>0</v>
      </c>
      <c r="H493" s="9"/>
      <c r="J493" s="10" t="s">
        <v>7</v>
      </c>
      <c r="K493" s="10"/>
      <c r="L493" s="10"/>
      <c r="M493" s="10"/>
      <c r="N493" t="str">
        <f>IFERROR(VLOOKUP(D493, Fornecedores!A:B, 2, FALSE), "")</f>
        <v/>
      </c>
    </row>
    <row r="494" spans="1:14" ht="11.85" customHeight="1" x14ac:dyDescent="0.2">
      <c r="A494" s="8">
        <v>46255</v>
      </c>
      <c r="B494" s="8"/>
      <c r="C494" s="7">
        <v>1021</v>
      </c>
      <c r="D494" s="4">
        <v>5</v>
      </c>
      <c r="E494" s="2">
        <v>282.5</v>
      </c>
      <c r="G494" s="9">
        <v>0</v>
      </c>
      <c r="H494" s="9"/>
      <c r="J494" s="10" t="s">
        <v>7</v>
      </c>
      <c r="K494" s="10"/>
      <c r="L494" s="10"/>
      <c r="M494" s="10"/>
      <c r="N494" t="str">
        <f>IFERROR(VLOOKUP(D494, Fornecedores!A:B, 2, FALSE), "")</f>
        <v/>
      </c>
    </row>
    <row r="495" spans="1:14" ht="11.85" customHeight="1" x14ac:dyDescent="0.2">
      <c r="A495" s="8">
        <v>46255</v>
      </c>
      <c r="B495" s="8"/>
      <c r="C495" s="7">
        <v>1021</v>
      </c>
      <c r="D495" s="4">
        <v>5</v>
      </c>
      <c r="E495" s="2">
        <v>513</v>
      </c>
      <c r="G495" s="9">
        <v>0</v>
      </c>
      <c r="H495" s="9"/>
      <c r="J495" s="10" t="s">
        <v>7</v>
      </c>
      <c r="K495" s="10"/>
      <c r="L495" s="10"/>
      <c r="M495" s="10"/>
      <c r="N495" t="str">
        <f>IFERROR(VLOOKUP(D495, Fornecedores!A:B, 2, FALSE), "")</f>
        <v/>
      </c>
    </row>
    <row r="496" spans="1:14" ht="11.85" customHeight="1" x14ac:dyDescent="0.2">
      <c r="A496" s="8">
        <v>46255</v>
      </c>
      <c r="B496" s="8"/>
      <c r="C496" s="7">
        <v>1021</v>
      </c>
      <c r="D496" s="4">
        <v>5</v>
      </c>
      <c r="E496" s="2">
        <v>310</v>
      </c>
      <c r="G496" s="9">
        <v>0</v>
      </c>
      <c r="H496" s="9"/>
      <c r="J496" s="10" t="s">
        <v>7</v>
      </c>
      <c r="K496" s="10"/>
      <c r="L496" s="10"/>
      <c r="M496" s="10"/>
      <c r="N496" t="str">
        <f>IFERROR(VLOOKUP(D496, Fornecedores!A:B, 2, FALSE), "")</f>
        <v/>
      </c>
    </row>
    <row r="497" spans="1:14" ht="11.85" customHeight="1" x14ac:dyDescent="0.2">
      <c r="A497" s="8">
        <v>46255</v>
      </c>
      <c r="B497" s="8"/>
      <c r="C497" s="7">
        <v>1021</v>
      </c>
      <c r="D497" s="4">
        <v>5</v>
      </c>
      <c r="E497" s="2">
        <v>5.92</v>
      </c>
      <c r="G497" s="9">
        <v>0</v>
      </c>
      <c r="H497" s="9"/>
      <c r="J497" s="10" t="s">
        <v>7</v>
      </c>
      <c r="K497" s="10"/>
      <c r="L497" s="10"/>
      <c r="M497" s="10"/>
      <c r="N497" t="str">
        <f>IFERROR(VLOOKUP(D497, Fornecedores!A:B, 2, FALSE), "")</f>
        <v/>
      </c>
    </row>
    <row r="498" spans="1:14" ht="11.85" customHeight="1" x14ac:dyDescent="0.2">
      <c r="A498" s="8">
        <v>46255</v>
      </c>
      <c r="B498" s="8"/>
      <c r="C498" s="7">
        <v>1021</v>
      </c>
      <c r="D498" s="4">
        <v>5</v>
      </c>
      <c r="E498" s="2">
        <v>130.08000000000001</v>
      </c>
      <c r="G498" s="9">
        <v>0</v>
      </c>
      <c r="H498" s="9"/>
      <c r="J498" s="10" t="s">
        <v>7</v>
      </c>
      <c r="K498" s="10"/>
      <c r="L498" s="10"/>
      <c r="M498" s="10"/>
      <c r="N498" t="str">
        <f>IFERROR(VLOOKUP(D498, Fornecedores!A:B, 2, FALSE), "")</f>
        <v/>
      </c>
    </row>
    <row r="499" spans="1:14" ht="11.85" customHeight="1" x14ac:dyDescent="0.2">
      <c r="A499" s="8">
        <v>46255</v>
      </c>
      <c r="B499" s="8"/>
      <c r="C499" s="7">
        <v>1021</v>
      </c>
      <c r="D499" s="4">
        <v>5</v>
      </c>
      <c r="E499" s="2">
        <v>2143</v>
      </c>
      <c r="G499" s="9">
        <v>0</v>
      </c>
      <c r="H499" s="9"/>
      <c r="J499" s="10" t="s">
        <v>7</v>
      </c>
      <c r="K499" s="10"/>
      <c r="L499" s="10"/>
      <c r="M499" s="10"/>
      <c r="N499" t="str">
        <f>IFERROR(VLOOKUP(D499, Fornecedores!A:B, 2, FALSE), "")</f>
        <v/>
      </c>
    </row>
    <row r="500" spans="1:14" ht="11.85" customHeight="1" x14ac:dyDescent="0.2">
      <c r="A500" s="8">
        <v>46255</v>
      </c>
      <c r="B500" s="8"/>
      <c r="C500" s="7">
        <v>1021</v>
      </c>
      <c r="D500" s="4">
        <v>5</v>
      </c>
      <c r="E500" s="2">
        <v>107.64</v>
      </c>
      <c r="G500" s="9">
        <v>0</v>
      </c>
      <c r="H500" s="9"/>
      <c r="J500" s="10" t="s">
        <v>7</v>
      </c>
      <c r="K500" s="10"/>
      <c r="L500" s="10"/>
      <c r="M500" s="10"/>
      <c r="N500" t="str">
        <f>IFERROR(VLOOKUP(D500, Fornecedores!A:B, 2, FALSE), "")</f>
        <v/>
      </c>
    </row>
    <row r="501" spans="1:14" ht="11.85" customHeight="1" x14ac:dyDescent="0.2">
      <c r="A501" s="8">
        <v>46255</v>
      </c>
      <c r="B501" s="8"/>
      <c r="C501" s="7">
        <v>1021</v>
      </c>
      <c r="D501" s="4">
        <v>5</v>
      </c>
      <c r="E501" s="2">
        <v>54.36</v>
      </c>
      <c r="G501" s="9">
        <v>0</v>
      </c>
      <c r="H501" s="9"/>
      <c r="J501" s="10" t="s">
        <v>7</v>
      </c>
      <c r="K501" s="10"/>
      <c r="L501" s="10"/>
      <c r="M501" s="10"/>
      <c r="N501" t="str">
        <f>IFERROR(VLOOKUP(D501, Fornecedores!A:B, 2, FALSE), "")</f>
        <v/>
      </c>
    </row>
    <row r="502" spans="1:14" ht="11.85" customHeight="1" x14ac:dyDescent="0.2">
      <c r="A502" s="8">
        <v>46255</v>
      </c>
      <c r="B502" s="8"/>
      <c r="C502" s="7">
        <v>1021</v>
      </c>
      <c r="D502" s="4">
        <v>5</v>
      </c>
      <c r="E502" s="2">
        <v>18</v>
      </c>
      <c r="G502" s="9">
        <v>0</v>
      </c>
      <c r="H502" s="9"/>
      <c r="J502" s="10" t="s">
        <v>7</v>
      </c>
      <c r="K502" s="10"/>
      <c r="L502" s="10"/>
      <c r="M502" s="10"/>
      <c r="N502" t="str">
        <f>IFERROR(VLOOKUP(D502, Fornecedores!A:B, 2, FALSE), "")</f>
        <v/>
      </c>
    </row>
    <row r="503" spans="1:14" ht="11.85" customHeight="1" x14ac:dyDescent="0.2">
      <c r="A503" s="8">
        <v>46255</v>
      </c>
      <c r="B503" s="8"/>
      <c r="C503" s="7">
        <v>1021</v>
      </c>
      <c r="D503" s="4">
        <v>5</v>
      </c>
      <c r="E503" s="2">
        <v>5167</v>
      </c>
      <c r="G503" s="9">
        <v>0</v>
      </c>
      <c r="H503" s="9"/>
      <c r="J503" s="10" t="s">
        <v>7</v>
      </c>
      <c r="K503" s="10"/>
      <c r="L503" s="10"/>
      <c r="M503" s="10"/>
      <c r="N503" t="str">
        <f>IFERROR(VLOOKUP(D503, Fornecedores!A:B, 2, FALSE), "")</f>
        <v/>
      </c>
    </row>
    <row r="504" spans="1:14" ht="11.85" customHeight="1" x14ac:dyDescent="0.2">
      <c r="A504" s="8">
        <v>46255</v>
      </c>
      <c r="B504" s="8"/>
      <c r="C504" s="7">
        <v>1021</v>
      </c>
      <c r="D504" s="4">
        <v>5</v>
      </c>
      <c r="E504" s="2">
        <v>1072.04</v>
      </c>
      <c r="G504" s="9">
        <v>0</v>
      </c>
      <c r="H504" s="9"/>
      <c r="J504" s="10" t="s">
        <v>7</v>
      </c>
      <c r="K504" s="10"/>
      <c r="L504" s="10"/>
      <c r="M504" s="10"/>
      <c r="N504" t="str">
        <f>IFERROR(VLOOKUP(D504, Fornecedores!A:B, 2, FALSE), "")</f>
        <v/>
      </c>
    </row>
    <row r="505" spans="1:14" ht="11.85" customHeight="1" x14ac:dyDescent="0.2">
      <c r="A505" s="8">
        <v>46255</v>
      </c>
      <c r="B505" s="8"/>
      <c r="C505" s="7">
        <v>1021</v>
      </c>
      <c r="D505" s="4">
        <v>5</v>
      </c>
      <c r="E505" s="2">
        <v>87</v>
      </c>
      <c r="G505" s="9">
        <v>0</v>
      </c>
      <c r="H505" s="9"/>
      <c r="J505" s="10" t="s">
        <v>7</v>
      </c>
      <c r="K505" s="10"/>
      <c r="L505" s="10"/>
      <c r="M505" s="10"/>
      <c r="N505" t="str">
        <f>IFERROR(VLOOKUP(D505, Fornecedores!A:B, 2, FALSE), "")</f>
        <v/>
      </c>
    </row>
    <row r="506" spans="1:14" ht="11.85" customHeight="1" x14ac:dyDescent="0.2">
      <c r="A506" s="8">
        <v>46255</v>
      </c>
      <c r="B506" s="8"/>
      <c r="C506" s="7">
        <v>1021</v>
      </c>
      <c r="D506" s="4">
        <v>5</v>
      </c>
      <c r="E506" s="2">
        <v>132</v>
      </c>
      <c r="G506" s="9">
        <v>0</v>
      </c>
      <c r="H506" s="9"/>
      <c r="J506" s="10" t="s">
        <v>7</v>
      </c>
      <c r="K506" s="10"/>
      <c r="L506" s="10"/>
      <c r="M506" s="10"/>
      <c r="N506" t="str">
        <f>IFERROR(VLOOKUP(D506, Fornecedores!A:B, 2, FALSE), "")</f>
        <v/>
      </c>
    </row>
    <row r="507" spans="1:14" ht="11.85" customHeight="1" x14ac:dyDescent="0.2">
      <c r="A507" s="8">
        <v>46255</v>
      </c>
      <c r="B507" s="8"/>
      <c r="C507" s="7">
        <v>1021</v>
      </c>
      <c r="D507" s="4">
        <v>5</v>
      </c>
      <c r="E507" s="2">
        <v>31</v>
      </c>
      <c r="G507" s="9">
        <v>0</v>
      </c>
      <c r="H507" s="9"/>
      <c r="J507" s="10" t="s">
        <v>7</v>
      </c>
      <c r="K507" s="10"/>
      <c r="L507" s="10"/>
      <c r="M507" s="10"/>
      <c r="N507" t="str">
        <f>IFERROR(VLOOKUP(D507, Fornecedores!A:B, 2, FALSE), "")</f>
        <v/>
      </c>
    </row>
    <row r="508" spans="1:14" ht="11.85" customHeight="1" x14ac:dyDescent="0.2">
      <c r="A508" s="8">
        <v>46255</v>
      </c>
      <c r="B508" s="8"/>
      <c r="C508" s="7">
        <v>1021</v>
      </c>
      <c r="D508" s="4">
        <v>5</v>
      </c>
      <c r="E508" s="2">
        <v>17286.560000000001</v>
      </c>
      <c r="G508" s="9">
        <v>0</v>
      </c>
      <c r="H508" s="9"/>
      <c r="J508" s="10" t="s">
        <v>7</v>
      </c>
      <c r="K508" s="10"/>
      <c r="L508" s="10"/>
      <c r="M508" s="10"/>
      <c r="N508" t="str">
        <f>IFERROR(VLOOKUP(D508, Fornecedores!A:B, 2, FALSE), "")</f>
        <v/>
      </c>
    </row>
    <row r="509" spans="1:14" ht="11.85" customHeight="1" x14ac:dyDescent="0.2">
      <c r="A509" s="8">
        <v>46255</v>
      </c>
      <c r="B509" s="8"/>
      <c r="C509" s="7">
        <v>1027</v>
      </c>
      <c r="D509" s="4">
        <v>5</v>
      </c>
      <c r="E509" s="2">
        <v>979.64</v>
      </c>
      <c r="G509" s="9">
        <v>0</v>
      </c>
      <c r="H509" s="9"/>
      <c r="J509" s="10" t="s">
        <v>7</v>
      </c>
      <c r="K509" s="10"/>
      <c r="L509" s="10"/>
      <c r="M509" s="10"/>
      <c r="N509" t="str">
        <f>IFERROR(VLOOKUP(D509, Fornecedores!A:B, 2, FALSE), "")</f>
        <v/>
      </c>
    </row>
    <row r="510" spans="1:14" ht="11.85" customHeight="1" x14ac:dyDescent="0.2">
      <c r="A510" s="8">
        <v>46255</v>
      </c>
      <c r="B510" s="8"/>
      <c r="C510" s="7">
        <v>1027</v>
      </c>
      <c r="D510" s="4">
        <v>5</v>
      </c>
      <c r="E510" s="2">
        <v>429.5</v>
      </c>
      <c r="G510" s="9">
        <v>0</v>
      </c>
      <c r="H510" s="9"/>
      <c r="J510" s="10" t="s">
        <v>7</v>
      </c>
      <c r="K510" s="10"/>
      <c r="L510" s="10"/>
      <c r="M510" s="10"/>
      <c r="N510" t="str">
        <f>IFERROR(VLOOKUP(D510, Fornecedores!A:B, 2, FALSE), "")</f>
        <v/>
      </c>
    </row>
    <row r="511" spans="1:14" ht="11.85" customHeight="1" x14ac:dyDescent="0.2">
      <c r="A511" s="8">
        <v>46255</v>
      </c>
      <c r="B511" s="8"/>
      <c r="C511" s="7">
        <v>1027</v>
      </c>
      <c r="D511" s="4">
        <v>5</v>
      </c>
      <c r="E511" s="2">
        <v>106</v>
      </c>
      <c r="G511" s="9">
        <v>0</v>
      </c>
      <c r="H511" s="9"/>
      <c r="J511" s="10" t="s">
        <v>7</v>
      </c>
      <c r="K511" s="10"/>
      <c r="L511" s="10"/>
      <c r="M511" s="10"/>
      <c r="N511" t="str">
        <f>IFERROR(VLOOKUP(D511, Fornecedores!A:B, 2, FALSE), "")</f>
        <v/>
      </c>
    </row>
    <row r="512" spans="1:14" ht="11.85" customHeight="1" x14ac:dyDescent="0.2">
      <c r="A512" s="8">
        <v>46255</v>
      </c>
      <c r="B512" s="8"/>
      <c r="C512" s="7">
        <v>1027</v>
      </c>
      <c r="D512" s="4">
        <v>5</v>
      </c>
      <c r="E512" s="2">
        <v>2249</v>
      </c>
      <c r="G512" s="9">
        <v>0</v>
      </c>
      <c r="H512" s="9"/>
      <c r="J512" s="10" t="s">
        <v>7</v>
      </c>
      <c r="K512" s="10"/>
      <c r="L512" s="10"/>
      <c r="M512" s="10"/>
      <c r="N512" t="str">
        <f>IFERROR(VLOOKUP(D512, Fornecedores!A:B, 2, FALSE), "")</f>
        <v/>
      </c>
    </row>
    <row r="513" spans="1:14" ht="11.85" customHeight="1" x14ac:dyDescent="0.2">
      <c r="A513" s="8">
        <v>46255</v>
      </c>
      <c r="B513" s="8"/>
      <c r="C513" s="7">
        <v>1647</v>
      </c>
      <c r="D513" s="4">
        <v>519</v>
      </c>
      <c r="E513" s="2">
        <v>1295.53</v>
      </c>
      <c r="G513" s="9">
        <v>0</v>
      </c>
      <c r="H513" s="9"/>
      <c r="J513" s="10" t="s">
        <v>7</v>
      </c>
      <c r="K513" s="10"/>
      <c r="L513" s="10"/>
      <c r="M513" s="10"/>
      <c r="N513" t="str">
        <f>IFERROR(VLOOKUP(D513, Fornecedores!A:B, 2, FALSE), "")</f>
        <v>ENCANEL COM. DE MAT. DE CONST. LTDA</v>
      </c>
    </row>
    <row r="514" spans="1:14" ht="11.85" customHeight="1" x14ac:dyDescent="0.2">
      <c r="A514" s="8">
        <v>46255</v>
      </c>
      <c r="B514" s="8"/>
      <c r="C514" s="7">
        <v>1024</v>
      </c>
      <c r="D514" s="4">
        <v>520</v>
      </c>
      <c r="E514" s="2">
        <v>1351.1</v>
      </c>
      <c r="G514" s="9">
        <v>0</v>
      </c>
      <c r="H514" s="9"/>
      <c r="J514" s="10" t="s">
        <v>7</v>
      </c>
      <c r="K514" s="10"/>
      <c r="L514" s="10"/>
      <c r="M514" s="10"/>
      <c r="N514" t="str">
        <f>IFERROR(VLOOKUP(D514, Fornecedores!A:B, 2, FALSE), "")</f>
        <v>RENACOR COM. DE TINTAS LTDA (TAQUARALTO)</v>
      </c>
    </row>
    <row r="515" spans="1:14" ht="11.85" customHeight="1" x14ac:dyDescent="0.2">
      <c r="A515" s="8">
        <v>46255</v>
      </c>
      <c r="B515" s="8"/>
      <c r="C515" s="7">
        <v>2121</v>
      </c>
      <c r="D515" s="4">
        <v>520</v>
      </c>
      <c r="E515" s="2">
        <v>1349.4</v>
      </c>
      <c r="G515" s="9">
        <v>0</v>
      </c>
      <c r="H515" s="9"/>
      <c r="J515" s="10" t="s">
        <v>7</v>
      </c>
      <c r="K515" s="10"/>
      <c r="L515" s="10"/>
      <c r="M515" s="10"/>
      <c r="N515" t="str">
        <f>IFERROR(VLOOKUP(D515, Fornecedores!A:B, 2, FALSE), "")</f>
        <v>RENACOR COM. DE TINTAS LTDA (TAQUARALTO)</v>
      </c>
    </row>
    <row r="516" spans="1:14" ht="11.85" customHeight="1" x14ac:dyDescent="0.2">
      <c r="A516" s="8">
        <v>46255</v>
      </c>
      <c r="B516" s="8"/>
      <c r="C516" s="7">
        <v>1027</v>
      </c>
      <c r="D516" s="4">
        <v>526</v>
      </c>
      <c r="E516" s="2">
        <v>55</v>
      </c>
      <c r="G516" s="9">
        <v>0</v>
      </c>
      <c r="H516" s="9"/>
      <c r="J516" s="10" t="s">
        <v>7</v>
      </c>
      <c r="K516" s="10"/>
      <c r="L516" s="10"/>
      <c r="M516" s="10"/>
      <c r="N516" t="str">
        <f>IFERROR(VLOOKUP(D516, Fornecedores!A:B, 2, FALSE), "")</f>
        <v>FERPAM COM. DE FERRAMENTAS PARAFUSOS E MAQUINAS LTDA</v>
      </c>
    </row>
    <row r="517" spans="1:14" ht="11.85" customHeight="1" x14ac:dyDescent="0.2">
      <c r="A517" s="8">
        <v>46255</v>
      </c>
      <c r="B517" s="8"/>
      <c r="C517" s="7">
        <v>1025</v>
      </c>
      <c r="D517" s="4">
        <v>526</v>
      </c>
      <c r="E517" s="2">
        <v>776.9</v>
      </c>
      <c r="G517" s="9">
        <v>0</v>
      </c>
      <c r="H517" s="9"/>
      <c r="J517" s="10" t="s">
        <v>7</v>
      </c>
      <c r="K517" s="10"/>
      <c r="L517" s="10"/>
      <c r="M517" s="10"/>
      <c r="N517" t="str">
        <f>IFERROR(VLOOKUP(D517, Fornecedores!A:B, 2, FALSE), "")</f>
        <v>FERPAM COM. DE FERRAMENTAS PARAFUSOS E MAQUINAS LTDA</v>
      </c>
    </row>
    <row r="518" spans="1:14" ht="11.85" customHeight="1" x14ac:dyDescent="0.2">
      <c r="A518" s="8">
        <v>46255</v>
      </c>
      <c r="B518" s="8"/>
      <c r="C518" s="7">
        <v>2047</v>
      </c>
      <c r="D518" s="4">
        <v>1295</v>
      </c>
      <c r="E518" s="2">
        <v>58943.040000000001</v>
      </c>
      <c r="G518" s="9">
        <v>0</v>
      </c>
      <c r="H518" s="9"/>
      <c r="J518" s="10" t="s">
        <v>7</v>
      </c>
      <c r="K518" s="10"/>
      <c r="L518" s="10"/>
      <c r="M518" s="10"/>
      <c r="N518" t="str">
        <f>IFERROR(VLOOKUP(D518, Fornecedores!A:B, 2, FALSE), "")</f>
        <v>DIVIPLACAS COMERCIO E SERVICOS DE DIVISORIAS LTDA</v>
      </c>
    </row>
    <row r="519" spans="1:14" ht="11.85" customHeight="1" x14ac:dyDescent="0.2">
      <c r="A519" s="8">
        <v>46255</v>
      </c>
      <c r="B519" s="8"/>
      <c r="C519" s="7">
        <v>2047</v>
      </c>
      <c r="D519" s="4">
        <v>1295</v>
      </c>
      <c r="E519" s="2">
        <v>1686.81</v>
      </c>
      <c r="G519" s="9">
        <v>0</v>
      </c>
      <c r="H519" s="9"/>
      <c r="J519" s="10" t="s">
        <v>7</v>
      </c>
      <c r="K519" s="10"/>
      <c r="L519" s="10"/>
      <c r="M519" s="10"/>
      <c r="N519" t="str">
        <f>IFERROR(VLOOKUP(D519, Fornecedores!A:B, 2, FALSE), "")</f>
        <v>DIVIPLACAS COMERCIO E SERVICOS DE DIVISORIAS LTDA</v>
      </c>
    </row>
    <row r="520" spans="1:14" ht="11.85" customHeight="1" x14ac:dyDescent="0.2">
      <c r="A520" s="8">
        <v>46255</v>
      </c>
      <c r="B520" s="8"/>
      <c r="C520" s="7">
        <v>1755</v>
      </c>
      <c r="D520" s="4">
        <v>1433</v>
      </c>
      <c r="E520" s="2">
        <v>2153.61</v>
      </c>
      <c r="G520" s="9">
        <v>0</v>
      </c>
      <c r="H520" s="9"/>
      <c r="J520" s="10" t="s">
        <v>7</v>
      </c>
      <c r="K520" s="10"/>
      <c r="L520" s="10"/>
      <c r="M520" s="10"/>
      <c r="N520" t="str">
        <f>IFERROR(VLOOKUP(D520, Fornecedores!A:B, 2, FALSE), "")</f>
        <v>Construpiso Com. de materiais p/ constr. LTDA-EPP</v>
      </c>
    </row>
    <row r="521" spans="1:14" ht="11.85" customHeight="1" x14ac:dyDescent="0.2">
      <c r="A521" s="8">
        <v>46255</v>
      </c>
      <c r="B521" s="8"/>
      <c r="C521" s="7">
        <v>1755</v>
      </c>
      <c r="D521" s="4">
        <v>1433</v>
      </c>
      <c r="E521" s="2">
        <v>130</v>
      </c>
      <c r="G521" s="9">
        <v>0</v>
      </c>
      <c r="H521" s="9"/>
      <c r="J521" s="10" t="s">
        <v>7</v>
      </c>
      <c r="K521" s="10"/>
      <c r="L521" s="10"/>
      <c r="M521" s="10"/>
      <c r="N521" t="str">
        <f>IFERROR(VLOOKUP(D521, Fornecedores!A:B, 2, FALSE), "")</f>
        <v>Construpiso Com. de materiais p/ constr. LTDA-EPP</v>
      </c>
    </row>
    <row r="522" spans="1:14" ht="11.85" customHeight="1" x14ac:dyDescent="0.2">
      <c r="A522" s="8">
        <v>46255</v>
      </c>
      <c r="B522" s="8"/>
      <c r="C522" s="7">
        <v>983</v>
      </c>
      <c r="D522" s="4">
        <v>1490</v>
      </c>
      <c r="E522" s="2">
        <v>3251.9</v>
      </c>
      <c r="G522" s="9">
        <v>0</v>
      </c>
      <c r="H522" s="9"/>
      <c r="J522" s="10" t="s">
        <v>7</v>
      </c>
      <c r="K522" s="10"/>
      <c r="L522" s="10"/>
      <c r="M522" s="10"/>
      <c r="N522" t="str">
        <f>IFERROR(VLOOKUP(D522, Fornecedores!A:B, 2, FALSE), "")</f>
        <v>BIG DISTRIBUIDORA DE MATERIAIS DE CONSTRUCAO LTDA</v>
      </c>
    </row>
    <row r="523" spans="1:14" ht="11.85" customHeight="1" x14ac:dyDescent="0.2">
      <c r="A523" s="8">
        <v>46255</v>
      </c>
      <c r="B523" s="8"/>
      <c r="C523" s="7">
        <v>1021</v>
      </c>
      <c r="D523" s="4">
        <v>1490</v>
      </c>
      <c r="E523" s="2">
        <v>8346.94</v>
      </c>
      <c r="G523" s="9">
        <v>0</v>
      </c>
      <c r="H523" s="9"/>
      <c r="J523" s="10" t="s">
        <v>7</v>
      </c>
      <c r="K523" s="10"/>
      <c r="L523" s="10"/>
      <c r="M523" s="10"/>
      <c r="N523" t="str">
        <f>IFERROR(VLOOKUP(D523, Fornecedores!A:B, 2, FALSE), "")</f>
        <v>BIG DISTRIBUIDORA DE MATERIAIS DE CONSTRUCAO LTDA</v>
      </c>
    </row>
    <row r="524" spans="1:14" ht="11.85" customHeight="1" x14ac:dyDescent="0.2">
      <c r="A524" s="8">
        <v>46255</v>
      </c>
      <c r="B524" s="8"/>
      <c r="C524" s="7">
        <v>912</v>
      </c>
      <c r="D524" s="4">
        <v>1573</v>
      </c>
      <c r="E524" s="2">
        <v>816</v>
      </c>
      <c r="G524" s="9">
        <v>0</v>
      </c>
      <c r="H524" s="9"/>
      <c r="J524" s="10" t="s">
        <v>7</v>
      </c>
      <c r="K524" s="10"/>
      <c r="L524" s="10"/>
      <c r="M524" s="10"/>
      <c r="N524" t="str">
        <f>IFERROR(VLOOKUP(D524, Fornecedores!A:B, 2, FALSE), "")</f>
        <v>FERROTEC DISTRIBUIDORA DE FERRO E ACO LTDA.</v>
      </c>
    </row>
    <row r="525" spans="1:14" ht="11.85" customHeight="1" x14ac:dyDescent="0.2">
      <c r="A525" s="8">
        <v>46255</v>
      </c>
      <c r="B525" s="8"/>
      <c r="C525" s="7">
        <v>1020</v>
      </c>
      <c r="D525" s="4">
        <v>1573</v>
      </c>
      <c r="E525" s="2">
        <v>336</v>
      </c>
      <c r="G525" s="9">
        <v>0</v>
      </c>
      <c r="H525" s="9"/>
      <c r="J525" s="10" t="s">
        <v>7</v>
      </c>
      <c r="K525" s="10"/>
      <c r="L525" s="10"/>
      <c r="M525" s="10"/>
      <c r="N525" t="str">
        <f>IFERROR(VLOOKUP(D525, Fornecedores!A:B, 2, FALSE), "")</f>
        <v>FERROTEC DISTRIBUIDORA DE FERRO E ACO LTDA.</v>
      </c>
    </row>
    <row r="526" spans="1:14" ht="11.85" customHeight="1" x14ac:dyDescent="0.2">
      <c r="A526" s="8">
        <v>46255</v>
      </c>
      <c r="B526" s="8"/>
      <c r="C526" s="7">
        <v>1027</v>
      </c>
      <c r="D526" s="4">
        <v>1582</v>
      </c>
      <c r="E526" s="2">
        <v>359</v>
      </c>
      <c r="G526" s="9">
        <v>0</v>
      </c>
      <c r="H526" s="9"/>
      <c r="J526" s="10" t="s">
        <v>7</v>
      </c>
      <c r="K526" s="10"/>
      <c r="L526" s="10"/>
      <c r="M526" s="10"/>
      <c r="N526" t="str">
        <f>IFERROR(VLOOKUP(D526, Fornecedores!A:B, 2, FALSE), "")</f>
        <v>LUIZ RICARDO PEREIRA MORAIS COMERCIO</v>
      </c>
    </row>
    <row r="527" spans="1:14" ht="11.85" customHeight="1" x14ac:dyDescent="0.2">
      <c r="A527" s="8">
        <v>46255</v>
      </c>
      <c r="B527" s="8"/>
      <c r="C527" s="7">
        <v>889</v>
      </c>
      <c r="D527" s="4">
        <v>1617</v>
      </c>
      <c r="E527" s="2">
        <v>100.46</v>
      </c>
      <c r="G527" s="9">
        <v>0</v>
      </c>
      <c r="H527" s="9"/>
      <c r="J527" s="10" t="s">
        <v>7</v>
      </c>
      <c r="K527" s="10"/>
      <c r="L527" s="10"/>
      <c r="M527" s="10"/>
      <c r="N527" t="str">
        <f>IFERROR(VLOOKUP(D527, Fornecedores!A:B, 2, FALSE), "")</f>
        <v>FABIANO COM ATAC DE FERRAMENTAS E MAT DE CONS LTDA</v>
      </c>
    </row>
    <row r="528" spans="1:14" ht="11.85" customHeight="1" x14ac:dyDescent="0.2">
      <c r="A528" s="8">
        <v>46255</v>
      </c>
      <c r="B528" s="8"/>
      <c r="C528" s="7">
        <v>2105</v>
      </c>
      <c r="D528" s="4">
        <v>1629</v>
      </c>
      <c r="E528" s="2">
        <v>2600</v>
      </c>
      <c r="G528" s="9">
        <v>0</v>
      </c>
      <c r="H528" s="9"/>
      <c r="J528" s="10" t="s">
        <v>7</v>
      </c>
      <c r="K528" s="10"/>
      <c r="L528" s="10"/>
      <c r="M528" s="10"/>
      <c r="N528" t="str">
        <f>IFERROR(VLOOKUP(D528, Fornecedores!A:B, 2, FALSE), "")</f>
        <v>MADEIREIRA SANTA ROSA LTDA</v>
      </c>
    </row>
    <row r="529" spans="1:14" ht="11.85" customHeight="1" x14ac:dyDescent="0.2">
      <c r="A529" s="8">
        <v>46255</v>
      </c>
      <c r="B529" s="8"/>
      <c r="C529" s="7">
        <v>1021</v>
      </c>
      <c r="D529" s="4">
        <v>1712</v>
      </c>
      <c r="E529" s="2">
        <v>400</v>
      </c>
      <c r="G529" s="9">
        <v>0</v>
      </c>
      <c r="H529" s="9"/>
      <c r="J529" s="10" t="s">
        <v>7</v>
      </c>
      <c r="K529" s="10"/>
      <c r="L529" s="10"/>
      <c r="M529" s="10"/>
      <c r="N529" t="str">
        <f>IFERROR(VLOOKUP(D529, Fornecedores!A:B, 2, FALSE), "")</f>
        <v>ATIVA MATERIAIS ELETRICOS LTDA</v>
      </c>
    </row>
    <row r="530" spans="1:14" ht="11.85" customHeight="1" x14ac:dyDescent="0.2">
      <c r="A530" s="8">
        <v>46255</v>
      </c>
      <c r="B530" s="8"/>
      <c r="C530" s="7">
        <v>1027</v>
      </c>
      <c r="D530" s="4">
        <v>1741</v>
      </c>
      <c r="E530" s="2">
        <v>860.11</v>
      </c>
      <c r="G530" s="9">
        <v>0</v>
      </c>
      <c r="H530" s="9"/>
      <c r="J530" s="10" t="s">
        <v>7</v>
      </c>
      <c r="K530" s="10"/>
      <c r="L530" s="10"/>
      <c r="M530" s="10"/>
      <c r="N530" t="str">
        <f>IFERROR(VLOOKUP(D530, Fornecedores!A:B, 2, FALSE), "")</f>
        <v>ON MADEIRAS LTDA</v>
      </c>
    </row>
    <row r="531" spans="1:14" ht="11.85" customHeight="1" x14ac:dyDescent="0.2">
      <c r="A531" s="8">
        <v>46255</v>
      </c>
      <c r="B531" s="8"/>
      <c r="C531" s="7">
        <v>1027</v>
      </c>
      <c r="D531" s="4">
        <v>1742</v>
      </c>
      <c r="E531" s="2">
        <v>1391.76</v>
      </c>
      <c r="G531" s="9">
        <v>0</v>
      </c>
      <c r="H531" s="9"/>
      <c r="J531" s="10" t="s">
        <v>7</v>
      </c>
      <c r="K531" s="10"/>
      <c r="L531" s="10"/>
      <c r="M531" s="10"/>
      <c r="N531" t="str">
        <f>IFERROR(VLOOKUP(D531, Fornecedores!A:B, 2, FALSE), "")</f>
        <v>HORUS S/A DISTRIBUIDORA DE SOLUCOES TECN</v>
      </c>
    </row>
    <row r="532" spans="1:14" ht="11.85" customHeight="1" x14ac:dyDescent="0.2">
      <c r="A532" s="8">
        <v>46255</v>
      </c>
      <c r="B532" s="8"/>
      <c r="C532" s="7">
        <v>1027</v>
      </c>
      <c r="D532" s="4">
        <v>1742</v>
      </c>
      <c r="E532" s="2">
        <v>1391.76</v>
      </c>
      <c r="G532" s="9">
        <v>0</v>
      </c>
      <c r="H532" s="9"/>
      <c r="J532" s="10" t="s">
        <v>7</v>
      </c>
      <c r="K532" s="10"/>
      <c r="L532" s="10"/>
      <c r="M532" s="10"/>
      <c r="N532" t="str">
        <f>IFERROR(VLOOKUP(D532, Fornecedores!A:B, 2, FALSE), "")</f>
        <v>HORUS S/A DISTRIBUIDORA DE SOLUCOES TECN</v>
      </c>
    </row>
    <row r="533" spans="1:14" ht="11.85" customHeight="1" x14ac:dyDescent="0.2">
      <c r="A533" s="8">
        <v>46256</v>
      </c>
      <c r="B533" s="8"/>
      <c r="C533" s="7">
        <v>1021</v>
      </c>
      <c r="D533" s="4">
        <v>5</v>
      </c>
      <c r="E533" s="2">
        <v>784</v>
      </c>
      <c r="G533" s="9">
        <v>0</v>
      </c>
      <c r="H533" s="9"/>
      <c r="J533" s="10" t="s">
        <v>7</v>
      </c>
      <c r="K533" s="10"/>
      <c r="L533" s="10"/>
      <c r="M533" s="10"/>
      <c r="N533" t="str">
        <f>IFERROR(VLOOKUP(D533, Fornecedores!A:B, 2, FALSE), "")</f>
        <v/>
      </c>
    </row>
    <row r="534" spans="1:14" ht="11.85" customHeight="1" x14ac:dyDescent="0.2">
      <c r="A534" s="8">
        <v>46256</v>
      </c>
      <c r="B534" s="8"/>
      <c r="C534" s="7">
        <v>1021</v>
      </c>
      <c r="D534" s="4">
        <v>5</v>
      </c>
      <c r="E534" s="2">
        <v>35</v>
      </c>
      <c r="G534" s="9">
        <v>0</v>
      </c>
      <c r="H534" s="9"/>
      <c r="J534" s="10" t="s">
        <v>7</v>
      </c>
      <c r="K534" s="10"/>
      <c r="L534" s="10"/>
      <c r="M534" s="10"/>
      <c r="N534" t="str">
        <f>IFERROR(VLOOKUP(D534, Fornecedores!A:B, 2, FALSE), "")</f>
        <v/>
      </c>
    </row>
    <row r="535" spans="1:14" ht="11.85" customHeight="1" x14ac:dyDescent="0.2">
      <c r="A535" s="8">
        <v>46256</v>
      </c>
      <c r="B535" s="8"/>
      <c r="C535" s="7">
        <v>1021</v>
      </c>
      <c r="D535" s="4">
        <v>5</v>
      </c>
      <c r="E535" s="2">
        <v>108</v>
      </c>
      <c r="G535" s="9">
        <v>0</v>
      </c>
      <c r="H535" s="9"/>
      <c r="J535" s="10" t="s">
        <v>7</v>
      </c>
      <c r="K535" s="10"/>
      <c r="L535" s="10"/>
      <c r="M535" s="10"/>
      <c r="N535" t="str">
        <f>IFERROR(VLOOKUP(D535, Fornecedores!A:B, 2, FALSE), "")</f>
        <v/>
      </c>
    </row>
    <row r="536" spans="1:14" ht="11.85" customHeight="1" x14ac:dyDescent="0.2">
      <c r="A536" s="8">
        <v>46256</v>
      </c>
      <c r="B536" s="8"/>
      <c r="C536" s="7">
        <v>1021</v>
      </c>
      <c r="D536" s="4">
        <v>5</v>
      </c>
      <c r="E536" s="2">
        <v>27.5</v>
      </c>
      <c r="G536" s="9">
        <v>0</v>
      </c>
      <c r="H536" s="9"/>
      <c r="J536" s="10" t="s">
        <v>7</v>
      </c>
      <c r="K536" s="10"/>
      <c r="L536" s="10"/>
      <c r="M536" s="10"/>
      <c r="N536" t="str">
        <f>IFERROR(VLOOKUP(D536, Fornecedores!A:B, 2, FALSE), "")</f>
        <v/>
      </c>
    </row>
    <row r="537" spans="1:14" ht="11.85" customHeight="1" x14ac:dyDescent="0.2">
      <c r="A537" s="8">
        <v>46256</v>
      </c>
      <c r="B537" s="8"/>
      <c r="C537" s="7">
        <v>1021</v>
      </c>
      <c r="D537" s="4">
        <v>5</v>
      </c>
      <c r="E537" s="2">
        <v>374.96</v>
      </c>
      <c r="G537" s="9">
        <v>0</v>
      </c>
      <c r="H537" s="9"/>
      <c r="J537" s="10" t="s">
        <v>7</v>
      </c>
      <c r="K537" s="10"/>
      <c r="L537" s="10"/>
      <c r="M537" s="10"/>
      <c r="N537" t="str">
        <f>IFERROR(VLOOKUP(D537, Fornecedores!A:B, 2, FALSE), "")</f>
        <v/>
      </c>
    </row>
    <row r="538" spans="1:14" ht="11.85" customHeight="1" x14ac:dyDescent="0.2">
      <c r="A538" s="8">
        <v>46256</v>
      </c>
      <c r="B538" s="8"/>
      <c r="C538" s="7">
        <v>1647</v>
      </c>
      <c r="D538" s="4">
        <v>519</v>
      </c>
      <c r="E538" s="2">
        <v>177.3</v>
      </c>
      <c r="G538" s="9">
        <v>0</v>
      </c>
      <c r="H538" s="9"/>
      <c r="J538" s="10" t="s">
        <v>7</v>
      </c>
      <c r="K538" s="10"/>
      <c r="L538" s="10"/>
      <c r="M538" s="10"/>
      <c r="N538" t="str">
        <f>IFERROR(VLOOKUP(D538, Fornecedores!A:B, 2, FALSE), "")</f>
        <v>ENCANEL COM. DE MAT. DE CONST. LTDA</v>
      </c>
    </row>
    <row r="539" spans="1:14" ht="11.85" customHeight="1" x14ac:dyDescent="0.2">
      <c r="A539" s="8">
        <v>46256</v>
      </c>
      <c r="B539" s="8"/>
      <c r="C539" s="7">
        <v>1020</v>
      </c>
      <c r="D539" s="4">
        <v>1327</v>
      </c>
      <c r="E539" s="2">
        <v>596.95000000000005</v>
      </c>
      <c r="G539" s="9">
        <v>0</v>
      </c>
      <c r="H539" s="9"/>
      <c r="J539" s="10" t="s">
        <v>7</v>
      </c>
      <c r="K539" s="10"/>
      <c r="L539" s="10"/>
      <c r="M539" s="10"/>
      <c r="N539" t="str">
        <f>IFERROR(VLOOKUP(D539, Fornecedores!A:B, 2, FALSE), "")</f>
        <v>METALURGICA DO NORTE LTDA - EPP</v>
      </c>
    </row>
    <row r="540" spans="1:14" ht="11.85" customHeight="1" x14ac:dyDescent="0.2">
      <c r="A540" s="8">
        <v>46256</v>
      </c>
      <c r="B540" s="8"/>
      <c r="C540" s="7">
        <v>2137</v>
      </c>
      <c r="D540" s="4">
        <v>1741</v>
      </c>
      <c r="E540" s="2">
        <v>11642.14</v>
      </c>
      <c r="G540" s="9">
        <v>0</v>
      </c>
      <c r="H540" s="9"/>
      <c r="J540" s="10" t="s">
        <v>7</v>
      </c>
      <c r="K540" s="10"/>
      <c r="L540" s="10"/>
      <c r="M540" s="10"/>
      <c r="N540" t="str">
        <f>IFERROR(VLOOKUP(D540, Fornecedores!A:B, 2, FALSE), "")</f>
        <v>ON MADEIRAS LTDA</v>
      </c>
    </row>
    <row r="541" spans="1:14" ht="11.85" customHeight="1" x14ac:dyDescent="0.2">
      <c r="A541" s="8">
        <v>46256</v>
      </c>
      <c r="B541" s="8"/>
      <c r="C541" s="7">
        <v>272</v>
      </c>
      <c r="D541" s="4">
        <v>1743</v>
      </c>
      <c r="E541" s="2">
        <v>971.55</v>
      </c>
      <c r="G541" s="9">
        <v>0</v>
      </c>
      <c r="H541" s="9"/>
      <c r="J541" s="10" t="s">
        <v>7</v>
      </c>
      <c r="K541" s="10"/>
      <c r="L541" s="10"/>
      <c r="M541" s="10"/>
      <c r="N541" t="str">
        <f>IFERROR(VLOOKUP(D541, Fornecedores!A:B, 2, FALSE), "")</f>
        <v>BARBOSA E ANJOS LTDA</v>
      </c>
    </row>
    <row r="542" spans="1:14" ht="11.85" customHeight="1" x14ac:dyDescent="0.2">
      <c r="A542" s="8">
        <v>46258</v>
      </c>
      <c r="B542" s="8"/>
      <c r="C542" s="7">
        <v>1021</v>
      </c>
      <c r="D542" s="4">
        <v>5</v>
      </c>
      <c r="E542" s="2">
        <v>84</v>
      </c>
      <c r="G542" s="9">
        <v>0</v>
      </c>
      <c r="H542" s="9"/>
      <c r="J542" s="10" t="s">
        <v>7</v>
      </c>
      <c r="K542" s="10"/>
      <c r="L542" s="10"/>
      <c r="M542" s="10"/>
      <c r="N542" t="str">
        <f>IFERROR(VLOOKUP(D542, Fornecedores!A:B, 2, FALSE), "")</f>
        <v/>
      </c>
    </row>
    <row r="543" spans="1:14" ht="11.85" customHeight="1" x14ac:dyDescent="0.2">
      <c r="A543" s="8">
        <v>46258</v>
      </c>
      <c r="B543" s="8"/>
      <c r="C543" s="7">
        <v>1021</v>
      </c>
      <c r="D543" s="4">
        <v>5</v>
      </c>
      <c r="E543" s="2">
        <v>48</v>
      </c>
      <c r="G543" s="9">
        <v>0</v>
      </c>
      <c r="H543" s="9"/>
      <c r="J543" s="10" t="s">
        <v>7</v>
      </c>
      <c r="K543" s="10"/>
      <c r="L543" s="10"/>
      <c r="M543" s="10"/>
      <c r="N543" t="str">
        <f>IFERROR(VLOOKUP(D543, Fornecedores!A:B, 2, FALSE), "")</f>
        <v/>
      </c>
    </row>
    <row r="544" spans="1:14" ht="11.85" customHeight="1" x14ac:dyDescent="0.2">
      <c r="A544" s="8">
        <v>46258</v>
      </c>
      <c r="B544" s="8"/>
      <c r="C544" s="7">
        <v>1021</v>
      </c>
      <c r="D544" s="4">
        <v>5</v>
      </c>
      <c r="E544" s="2">
        <v>155.08000000000001</v>
      </c>
      <c r="G544" s="9">
        <v>0</v>
      </c>
      <c r="H544" s="9"/>
      <c r="J544" s="10" t="s">
        <v>7</v>
      </c>
      <c r="K544" s="10"/>
      <c r="L544" s="10"/>
      <c r="M544" s="10"/>
      <c r="N544" t="str">
        <f>IFERROR(VLOOKUP(D544, Fornecedores!A:B, 2, FALSE), "")</f>
        <v/>
      </c>
    </row>
    <row r="545" spans="1:14" ht="11.85" customHeight="1" x14ac:dyDescent="0.2">
      <c r="A545" s="8">
        <v>46258</v>
      </c>
      <c r="B545" s="8"/>
      <c r="C545" s="7">
        <v>1021</v>
      </c>
      <c r="D545" s="4">
        <v>5</v>
      </c>
      <c r="E545" s="2">
        <v>2396.83</v>
      </c>
      <c r="G545" s="9">
        <v>0</v>
      </c>
      <c r="H545" s="9"/>
      <c r="J545" s="10" t="s">
        <v>7</v>
      </c>
      <c r="K545" s="10"/>
      <c r="L545" s="10"/>
      <c r="M545" s="10"/>
      <c r="N545" t="str">
        <f>IFERROR(VLOOKUP(D545, Fornecedores!A:B, 2, FALSE), "")</f>
        <v/>
      </c>
    </row>
    <row r="546" spans="1:14" ht="11.85" customHeight="1" x14ac:dyDescent="0.2">
      <c r="A546" s="8">
        <v>46258</v>
      </c>
      <c r="B546" s="8"/>
      <c r="C546" s="7">
        <v>1021</v>
      </c>
      <c r="D546" s="4">
        <v>5</v>
      </c>
      <c r="E546" s="2">
        <v>521.74</v>
      </c>
      <c r="G546" s="9">
        <v>0</v>
      </c>
      <c r="H546" s="9"/>
      <c r="J546" s="10" t="s">
        <v>7</v>
      </c>
      <c r="K546" s="10"/>
      <c r="L546" s="10"/>
      <c r="M546" s="10"/>
      <c r="N546" t="str">
        <f>IFERROR(VLOOKUP(D546, Fornecedores!A:B, 2, FALSE), "")</f>
        <v/>
      </c>
    </row>
    <row r="547" spans="1:14" ht="11.85" customHeight="1" x14ac:dyDescent="0.2">
      <c r="A547" s="8">
        <v>46258</v>
      </c>
      <c r="B547" s="8"/>
      <c r="C547" s="7">
        <v>1021</v>
      </c>
      <c r="D547" s="4">
        <v>5</v>
      </c>
      <c r="E547" s="2">
        <v>16.5</v>
      </c>
      <c r="G547" s="9">
        <v>0</v>
      </c>
      <c r="H547" s="9"/>
      <c r="J547" s="10" t="s">
        <v>7</v>
      </c>
      <c r="K547" s="10"/>
      <c r="L547" s="10"/>
      <c r="M547" s="10"/>
      <c r="N547" t="str">
        <f>IFERROR(VLOOKUP(D547, Fornecedores!A:B, 2, FALSE), "")</f>
        <v/>
      </c>
    </row>
    <row r="548" spans="1:14" ht="11.85" customHeight="1" x14ac:dyDescent="0.2">
      <c r="A548" s="8">
        <v>46258</v>
      </c>
      <c r="B548" s="8"/>
      <c r="C548" s="7">
        <v>1021</v>
      </c>
      <c r="D548" s="4">
        <v>5</v>
      </c>
      <c r="E548" s="2">
        <v>80.12</v>
      </c>
      <c r="G548" s="9">
        <v>0</v>
      </c>
      <c r="H548" s="9"/>
      <c r="J548" s="10" t="s">
        <v>7</v>
      </c>
      <c r="K548" s="10"/>
      <c r="L548" s="10"/>
      <c r="M548" s="10"/>
      <c r="N548" t="str">
        <f>IFERROR(VLOOKUP(D548, Fornecedores!A:B, 2, FALSE), "")</f>
        <v/>
      </c>
    </row>
    <row r="549" spans="1:14" ht="11.85" customHeight="1" x14ac:dyDescent="0.2">
      <c r="A549" s="8">
        <v>46258</v>
      </c>
      <c r="B549" s="8"/>
      <c r="C549" s="7">
        <v>1021</v>
      </c>
      <c r="D549" s="4">
        <v>5</v>
      </c>
      <c r="E549" s="2">
        <v>43.88</v>
      </c>
      <c r="G549" s="9">
        <v>0</v>
      </c>
      <c r="H549" s="9"/>
      <c r="J549" s="10" t="s">
        <v>7</v>
      </c>
      <c r="K549" s="10"/>
      <c r="L549" s="10"/>
      <c r="M549" s="10"/>
      <c r="N549" t="str">
        <f>IFERROR(VLOOKUP(D549, Fornecedores!A:B, 2, FALSE), "")</f>
        <v/>
      </c>
    </row>
    <row r="550" spans="1:14" ht="11.85" customHeight="1" x14ac:dyDescent="0.2">
      <c r="A550" s="8">
        <v>46258</v>
      </c>
      <c r="B550" s="8"/>
      <c r="C550" s="7">
        <v>1021</v>
      </c>
      <c r="D550" s="4">
        <v>5</v>
      </c>
      <c r="E550" s="2">
        <v>174.69</v>
      </c>
      <c r="G550" s="9">
        <v>0</v>
      </c>
      <c r="H550" s="9"/>
      <c r="J550" s="10" t="s">
        <v>7</v>
      </c>
      <c r="K550" s="10"/>
      <c r="L550" s="10"/>
      <c r="M550" s="10"/>
      <c r="N550" t="str">
        <f>IFERROR(VLOOKUP(D550, Fornecedores!A:B, 2, FALSE), "")</f>
        <v/>
      </c>
    </row>
    <row r="551" spans="1:14" ht="11.85" customHeight="1" x14ac:dyDescent="0.2">
      <c r="A551" s="8">
        <v>46258</v>
      </c>
      <c r="B551" s="8"/>
      <c r="C551" s="7">
        <v>1021</v>
      </c>
      <c r="D551" s="4">
        <v>5</v>
      </c>
      <c r="E551" s="2">
        <v>155.31</v>
      </c>
      <c r="G551" s="9">
        <v>0</v>
      </c>
      <c r="H551" s="9"/>
      <c r="J551" s="10" t="s">
        <v>7</v>
      </c>
      <c r="K551" s="10"/>
      <c r="L551" s="10"/>
      <c r="M551" s="10"/>
      <c r="N551" t="str">
        <f>IFERROR(VLOOKUP(D551, Fornecedores!A:B, 2, FALSE), "")</f>
        <v/>
      </c>
    </row>
    <row r="552" spans="1:14" ht="11.85" customHeight="1" x14ac:dyDescent="0.2">
      <c r="A552" s="8">
        <v>46258</v>
      </c>
      <c r="B552" s="8"/>
      <c r="C552" s="7">
        <v>1021</v>
      </c>
      <c r="D552" s="4">
        <v>5</v>
      </c>
      <c r="E552" s="2">
        <v>6118.48</v>
      </c>
      <c r="G552" s="9">
        <v>0</v>
      </c>
      <c r="H552" s="9"/>
      <c r="J552" s="10" t="s">
        <v>7</v>
      </c>
      <c r="K552" s="10"/>
      <c r="L552" s="10"/>
      <c r="M552" s="10"/>
      <c r="N552" t="str">
        <f>IFERROR(VLOOKUP(D552, Fornecedores!A:B, 2, FALSE), "")</f>
        <v/>
      </c>
    </row>
    <row r="553" spans="1:14" ht="11.85" customHeight="1" x14ac:dyDescent="0.2">
      <c r="A553" s="8">
        <v>46258</v>
      </c>
      <c r="B553" s="8"/>
      <c r="C553" s="7">
        <v>272</v>
      </c>
      <c r="D553" s="4">
        <v>5</v>
      </c>
      <c r="E553" s="2">
        <v>674.77</v>
      </c>
      <c r="G553" s="9">
        <v>0</v>
      </c>
      <c r="H553" s="9"/>
      <c r="J553" s="10" t="s">
        <v>7</v>
      </c>
      <c r="K553" s="10"/>
      <c r="L553" s="10"/>
      <c r="M553" s="10"/>
      <c r="N553" t="str">
        <f>IFERROR(VLOOKUP(D553, Fornecedores!A:B, 2, FALSE), "")</f>
        <v/>
      </c>
    </row>
    <row r="554" spans="1:14" ht="11.85" customHeight="1" x14ac:dyDescent="0.2">
      <c r="A554" s="8">
        <v>46258</v>
      </c>
      <c r="B554" s="8"/>
      <c r="C554" s="7">
        <v>1020</v>
      </c>
      <c r="D554" s="4">
        <v>5</v>
      </c>
      <c r="E554" s="2">
        <v>15000</v>
      </c>
      <c r="G554" s="9">
        <v>0</v>
      </c>
      <c r="H554" s="9"/>
      <c r="J554" s="10" t="s">
        <v>7</v>
      </c>
      <c r="K554" s="10"/>
      <c r="L554" s="10"/>
      <c r="M554" s="10"/>
      <c r="N554" t="str">
        <f>IFERROR(VLOOKUP(D554, Fornecedores!A:B, 2, FALSE), "")</f>
        <v/>
      </c>
    </row>
    <row r="555" spans="1:14" ht="11.85" customHeight="1" x14ac:dyDescent="0.2">
      <c r="A555" s="8">
        <v>46258</v>
      </c>
      <c r="B555" s="8"/>
      <c r="C555" s="7">
        <v>889</v>
      </c>
      <c r="D555" s="4">
        <v>526</v>
      </c>
      <c r="E555" s="2">
        <v>2992.76</v>
      </c>
      <c r="G555" s="9">
        <v>0</v>
      </c>
      <c r="H555" s="9"/>
      <c r="J555" s="10" t="s">
        <v>7</v>
      </c>
      <c r="K555" s="10"/>
      <c r="L555" s="10"/>
      <c r="M555" s="10"/>
      <c r="N555" t="str">
        <f>IFERROR(VLOOKUP(D555, Fornecedores!A:B, 2, FALSE), "")</f>
        <v>FERPAM COM. DE FERRAMENTAS PARAFUSOS E MAQUINAS LTDA</v>
      </c>
    </row>
    <row r="556" spans="1:14" ht="11.85" customHeight="1" x14ac:dyDescent="0.2">
      <c r="A556" s="8">
        <v>46258</v>
      </c>
      <c r="B556" s="8"/>
      <c r="C556" s="7">
        <v>1025</v>
      </c>
      <c r="D556" s="4">
        <v>526</v>
      </c>
      <c r="E556" s="2">
        <v>827.66</v>
      </c>
      <c r="G556" s="9">
        <v>0</v>
      </c>
      <c r="H556" s="9"/>
      <c r="J556" s="10" t="s">
        <v>7</v>
      </c>
      <c r="K556" s="10"/>
      <c r="L556" s="10"/>
      <c r="M556" s="10"/>
      <c r="N556" t="str">
        <f>IFERROR(VLOOKUP(D556, Fornecedores!A:B, 2, FALSE), "")</f>
        <v>FERPAM COM. DE FERRAMENTAS PARAFUSOS E MAQUINAS LTDA</v>
      </c>
    </row>
    <row r="557" spans="1:14" ht="11.85" customHeight="1" x14ac:dyDescent="0.2">
      <c r="A557" s="8">
        <v>46258</v>
      </c>
      <c r="B557" s="8"/>
      <c r="C557" s="7">
        <v>2046</v>
      </c>
      <c r="D557" s="4">
        <v>789</v>
      </c>
      <c r="E557" s="2">
        <v>548.04</v>
      </c>
      <c r="G557" s="9">
        <v>0</v>
      </c>
      <c r="H557" s="9"/>
      <c r="J557" s="10" t="s">
        <v>7</v>
      </c>
      <c r="K557" s="10"/>
      <c r="L557" s="10"/>
      <c r="M557" s="10"/>
      <c r="N557" t="str">
        <f>IFERROR(VLOOKUP(D557, Fornecedores!A:B, 2, FALSE), "")</f>
        <v>INVIOLAVEL PALMAS TO. COM. MONIT. ALAR. ELET.LTDA</v>
      </c>
    </row>
    <row r="558" spans="1:14" ht="11.85" customHeight="1" x14ac:dyDescent="0.2">
      <c r="A558" s="8">
        <v>46258</v>
      </c>
      <c r="B558" s="8"/>
      <c r="C558" s="7">
        <v>1024</v>
      </c>
      <c r="D558" s="4">
        <v>1376</v>
      </c>
      <c r="E558" s="2">
        <v>108.14</v>
      </c>
      <c r="G558" s="9">
        <v>0</v>
      </c>
      <c r="H558" s="9"/>
      <c r="J558" s="10" t="s">
        <v>7</v>
      </c>
      <c r="K558" s="10"/>
      <c r="L558" s="10"/>
      <c r="M558" s="10"/>
      <c r="N558" t="str">
        <f>IFERROR(VLOOKUP(D558, Fornecedores!A:B, 2, FALSE), "")</f>
        <v>E R SOUSA FILHO LTDA</v>
      </c>
    </row>
    <row r="559" spans="1:14" ht="11.85" customHeight="1" x14ac:dyDescent="0.2">
      <c r="A559" s="8">
        <v>46258</v>
      </c>
      <c r="B559" s="8"/>
      <c r="C559" s="7">
        <v>1755</v>
      </c>
      <c r="D559" s="4">
        <v>1433</v>
      </c>
      <c r="E559" s="2">
        <v>157.71</v>
      </c>
      <c r="G559" s="9">
        <v>0</v>
      </c>
      <c r="H559" s="9"/>
      <c r="J559" s="10" t="s">
        <v>7</v>
      </c>
      <c r="K559" s="10"/>
      <c r="L559" s="10"/>
      <c r="M559" s="10"/>
      <c r="N559" t="str">
        <f>IFERROR(VLOOKUP(D559, Fornecedores!A:B, 2, FALSE), "")</f>
        <v>Construpiso Com. de materiais p/ constr. LTDA-EPP</v>
      </c>
    </row>
    <row r="560" spans="1:14" ht="11.85" customHeight="1" x14ac:dyDescent="0.2">
      <c r="A560" s="8">
        <v>46258</v>
      </c>
      <c r="B560" s="8"/>
      <c r="C560" s="7">
        <v>2134</v>
      </c>
      <c r="D560" s="4">
        <v>1573</v>
      </c>
      <c r="E560" s="2">
        <v>12880</v>
      </c>
      <c r="G560" s="9">
        <v>0</v>
      </c>
      <c r="H560" s="9"/>
      <c r="J560" s="10" t="s">
        <v>7</v>
      </c>
      <c r="K560" s="10"/>
      <c r="L560" s="10"/>
      <c r="M560" s="10"/>
      <c r="N560" t="str">
        <f>IFERROR(VLOOKUP(D560, Fornecedores!A:B, 2, FALSE), "")</f>
        <v>FERROTEC DISTRIBUIDORA DE FERRO E ACO LTDA.</v>
      </c>
    </row>
    <row r="561" spans="1:14" ht="11.85" customHeight="1" x14ac:dyDescent="0.2">
      <c r="A561" s="8">
        <v>46258</v>
      </c>
      <c r="B561" s="8"/>
      <c r="C561" s="7">
        <v>2121</v>
      </c>
      <c r="D561" s="4">
        <v>1610</v>
      </c>
      <c r="E561" s="2">
        <v>3300</v>
      </c>
      <c r="G561" s="9">
        <v>0</v>
      </c>
      <c r="H561" s="9"/>
      <c r="J561" s="10" t="s">
        <v>7</v>
      </c>
      <c r="K561" s="10"/>
      <c r="L561" s="10"/>
      <c r="M561" s="10"/>
      <c r="N561" t="str">
        <f>IFERROR(VLOOKUP(D561, Fornecedores!A:B, 2, FALSE), "")</f>
        <v>SANTA ROSA DISTRIBUIDORA DE CIMENTOS LTDA - ME</v>
      </c>
    </row>
    <row r="562" spans="1:14" ht="11.85" customHeight="1" x14ac:dyDescent="0.2">
      <c r="A562" s="8">
        <v>46258</v>
      </c>
      <c r="B562" s="8"/>
      <c r="C562" s="7">
        <v>2138</v>
      </c>
      <c r="D562" s="4">
        <v>1617</v>
      </c>
      <c r="E562" s="2">
        <v>2373</v>
      </c>
      <c r="G562" s="9">
        <v>0</v>
      </c>
      <c r="H562" s="9"/>
      <c r="J562" s="10" t="s">
        <v>7</v>
      </c>
      <c r="K562" s="10"/>
      <c r="L562" s="10"/>
      <c r="M562" s="10"/>
      <c r="N562" t="str">
        <f>IFERROR(VLOOKUP(D562, Fornecedores!A:B, 2, FALSE), "")</f>
        <v>FABIANO COM ATAC DE FERRAMENTAS E MAT DE CONS LTDA</v>
      </c>
    </row>
    <row r="563" spans="1:14" ht="11.85" customHeight="1" x14ac:dyDescent="0.2">
      <c r="A563" s="8">
        <v>46258</v>
      </c>
      <c r="B563" s="8"/>
      <c r="C563" s="7">
        <v>1027</v>
      </c>
      <c r="D563" s="4">
        <v>1617</v>
      </c>
      <c r="E563" s="2">
        <v>240</v>
      </c>
      <c r="G563" s="9">
        <v>0</v>
      </c>
      <c r="H563" s="9"/>
      <c r="J563" s="10" t="s">
        <v>7</v>
      </c>
      <c r="K563" s="10"/>
      <c r="L563" s="10"/>
      <c r="M563" s="10"/>
      <c r="N563" t="str">
        <f>IFERROR(VLOOKUP(D563, Fornecedores!A:B, 2, FALSE), "")</f>
        <v>FABIANO COM ATAC DE FERRAMENTAS E MAT DE CONS LTDA</v>
      </c>
    </row>
    <row r="564" spans="1:14" ht="11.85" customHeight="1" x14ac:dyDescent="0.2">
      <c r="A564" s="8">
        <v>46258</v>
      </c>
      <c r="B564" s="8"/>
      <c r="C564" s="7">
        <v>1027</v>
      </c>
      <c r="D564" s="4">
        <v>1706</v>
      </c>
      <c r="E564" s="2">
        <v>1190.48</v>
      </c>
      <c r="G564" s="9">
        <v>0</v>
      </c>
      <c r="H564" s="9"/>
      <c r="J564" s="10" t="s">
        <v>7</v>
      </c>
      <c r="K564" s="10"/>
      <c r="L564" s="10"/>
      <c r="M564" s="10"/>
      <c r="N564" t="str">
        <f>IFERROR(VLOOKUP(D564, Fornecedores!A:B, 2, FALSE), "")</f>
        <v>Dexco S.A.</v>
      </c>
    </row>
    <row r="565" spans="1:14" ht="11.85" customHeight="1" x14ac:dyDescent="0.2">
      <c r="A565" s="8">
        <v>46258</v>
      </c>
      <c r="B565" s="8"/>
      <c r="C565" s="7">
        <v>2045</v>
      </c>
      <c r="D565" s="4">
        <v>1738</v>
      </c>
      <c r="E565" s="2">
        <v>2828.84</v>
      </c>
      <c r="G565" s="9">
        <v>0</v>
      </c>
      <c r="H565" s="9"/>
      <c r="J565" s="10" t="s">
        <v>7</v>
      </c>
      <c r="K565" s="10"/>
      <c r="L565" s="10"/>
      <c r="M565" s="10"/>
      <c r="N565" t="str">
        <f>IFERROR(VLOOKUP(D565, Fornecedores!A:B, 2, FALSE), "")</f>
        <v>INDUSTRIA DE PRE-MOLDADOS DA AMAZONIA S/</v>
      </c>
    </row>
    <row r="566" spans="1:14" ht="11.85" customHeight="1" x14ac:dyDescent="0.2">
      <c r="A566" s="8">
        <v>46258</v>
      </c>
      <c r="B566" s="8"/>
      <c r="C566" s="7">
        <v>1027</v>
      </c>
      <c r="D566" s="4">
        <v>1963</v>
      </c>
      <c r="E566" s="2">
        <v>390.07</v>
      </c>
      <c r="G566" s="9">
        <v>0</v>
      </c>
      <c r="H566" s="9"/>
      <c r="J566" s="10" t="s">
        <v>7</v>
      </c>
      <c r="K566" s="10"/>
      <c r="L566" s="10"/>
      <c r="M566" s="10"/>
      <c r="N566" t="str">
        <f>IFERROR(VLOOKUP(D566, Fornecedores!A:B, 2, FALSE), "")</f>
        <v>MADESIL DISTR. DE MATERIAIS CONSTRUCAO LTDA EPP</v>
      </c>
    </row>
    <row r="567" spans="1:14" ht="11.85" customHeight="1" x14ac:dyDescent="0.2">
      <c r="A567" s="8">
        <v>46258</v>
      </c>
      <c r="B567" s="8"/>
      <c r="C567" s="7">
        <v>2031</v>
      </c>
      <c r="D567" s="4">
        <v>2085</v>
      </c>
      <c r="E567" s="2">
        <v>151.97</v>
      </c>
      <c r="G567" s="9">
        <v>0</v>
      </c>
      <c r="H567" s="9"/>
      <c r="J567" s="10" t="s">
        <v>7</v>
      </c>
      <c r="K567" s="10"/>
      <c r="L567" s="10"/>
      <c r="M567" s="10"/>
      <c r="N567" t="str">
        <f>IFERROR(VLOOKUP(D567, Fornecedores!A:B, 2, FALSE), "")</f>
        <v>BRILHUSS PRODUTOS DE HIGIENE E LIMPEZA EIRELI - ME</v>
      </c>
    </row>
    <row r="568" spans="1:14" ht="11.85" customHeight="1" x14ac:dyDescent="0.2">
      <c r="A568" s="8">
        <v>46258</v>
      </c>
      <c r="B568" s="8"/>
      <c r="C568" s="7">
        <v>2111</v>
      </c>
      <c r="D568" s="4">
        <v>2305</v>
      </c>
      <c r="E568" s="2">
        <v>610</v>
      </c>
      <c r="G568" s="9">
        <v>0</v>
      </c>
      <c r="H568" s="9"/>
      <c r="J568" s="10" t="s">
        <v>7</v>
      </c>
      <c r="K568" s="10"/>
      <c r="L568" s="10"/>
      <c r="M568" s="10"/>
      <c r="N568" t="str">
        <f>IFERROR(VLOOKUP(D568, Fornecedores!A:B, 2, FALSE), "")</f>
        <v>MATIAS  COSTA LTDA- ME</v>
      </c>
    </row>
    <row r="569" spans="1:14" ht="11.85" customHeight="1" x14ac:dyDescent="0.2">
      <c r="A569" s="8">
        <v>46259</v>
      </c>
      <c r="B569" s="8"/>
      <c r="C569" s="7">
        <v>5</v>
      </c>
      <c r="D569" s="4">
        <v>467</v>
      </c>
      <c r="E569" s="2">
        <v>1620</v>
      </c>
      <c r="G569" s="9">
        <v>0</v>
      </c>
      <c r="H569" s="9"/>
      <c r="J569" s="10" t="s">
        <v>6</v>
      </c>
      <c r="K569" s="10"/>
      <c r="L569" s="10"/>
      <c r="M569" s="10"/>
      <c r="N569" t="str">
        <f>IFERROR(VLOOKUP(D569, Fornecedores!A:B, 2, FALSE), "")</f>
        <v/>
      </c>
    </row>
    <row r="570" spans="1:14" ht="11.85" customHeight="1" x14ac:dyDescent="0.2">
      <c r="A570" s="8">
        <v>46259</v>
      </c>
      <c r="B570" s="8"/>
      <c r="C570" s="7">
        <v>1647</v>
      </c>
      <c r="D570" s="4">
        <v>5</v>
      </c>
      <c r="E570" s="2">
        <v>122.9</v>
      </c>
      <c r="G570" s="9">
        <v>0</v>
      </c>
      <c r="H570" s="9"/>
      <c r="J570" s="10" t="s">
        <v>7</v>
      </c>
      <c r="K570" s="10"/>
      <c r="L570" s="10"/>
      <c r="M570" s="10"/>
      <c r="N570" t="str">
        <f>IFERROR(VLOOKUP(D570, Fornecedores!A:B, 2, FALSE), "")</f>
        <v/>
      </c>
    </row>
    <row r="571" spans="1:14" ht="11.85" customHeight="1" x14ac:dyDescent="0.2">
      <c r="A571" s="8">
        <v>46259</v>
      </c>
      <c r="B571" s="8"/>
      <c r="C571" s="7">
        <v>1021</v>
      </c>
      <c r="D571" s="4">
        <v>5</v>
      </c>
      <c r="E571" s="2">
        <v>28.7</v>
      </c>
      <c r="G571" s="9">
        <v>0</v>
      </c>
      <c r="H571" s="9"/>
      <c r="J571" s="10" t="s">
        <v>7</v>
      </c>
      <c r="K571" s="10"/>
      <c r="L571" s="10"/>
      <c r="M571" s="10"/>
      <c r="N571" t="str">
        <f>IFERROR(VLOOKUP(D571, Fornecedores!A:B, 2, FALSE), "")</f>
        <v/>
      </c>
    </row>
    <row r="572" spans="1:14" ht="11.85" customHeight="1" x14ac:dyDescent="0.2">
      <c r="A572" s="8">
        <v>46259</v>
      </c>
      <c r="B572" s="8"/>
      <c r="C572" s="7">
        <v>1021</v>
      </c>
      <c r="D572" s="4">
        <v>5</v>
      </c>
      <c r="E572" s="2">
        <v>160</v>
      </c>
      <c r="G572" s="9">
        <v>0</v>
      </c>
      <c r="H572" s="9"/>
      <c r="J572" s="10" t="s">
        <v>7</v>
      </c>
      <c r="K572" s="10"/>
      <c r="L572" s="10"/>
      <c r="M572" s="10"/>
      <c r="N572" t="str">
        <f>IFERROR(VLOOKUP(D572, Fornecedores!A:B, 2, FALSE), "")</f>
        <v/>
      </c>
    </row>
    <row r="573" spans="1:14" ht="11.85" customHeight="1" x14ac:dyDescent="0.2">
      <c r="A573" s="8">
        <v>46259</v>
      </c>
      <c r="B573" s="8"/>
      <c r="C573" s="7">
        <v>1021</v>
      </c>
      <c r="D573" s="4">
        <v>5</v>
      </c>
      <c r="E573" s="2">
        <v>101</v>
      </c>
      <c r="G573" s="9">
        <v>0</v>
      </c>
      <c r="H573" s="9"/>
      <c r="J573" s="10" t="s">
        <v>7</v>
      </c>
      <c r="K573" s="10"/>
      <c r="L573" s="10"/>
      <c r="M573" s="10"/>
      <c r="N573" t="str">
        <f>IFERROR(VLOOKUP(D573, Fornecedores!A:B, 2, FALSE), "")</f>
        <v/>
      </c>
    </row>
    <row r="574" spans="1:14" ht="11.85" customHeight="1" x14ac:dyDescent="0.2">
      <c r="A574" s="8">
        <v>46259</v>
      </c>
      <c r="B574" s="8"/>
      <c r="C574" s="7">
        <v>1021</v>
      </c>
      <c r="D574" s="4">
        <v>5</v>
      </c>
      <c r="E574" s="2">
        <v>931</v>
      </c>
      <c r="G574" s="9">
        <v>0</v>
      </c>
      <c r="H574" s="9"/>
      <c r="J574" s="10" t="s">
        <v>7</v>
      </c>
      <c r="K574" s="10"/>
      <c r="L574" s="10"/>
      <c r="M574" s="10"/>
      <c r="N574" t="str">
        <f>IFERROR(VLOOKUP(D574, Fornecedores!A:B, 2, FALSE), "")</f>
        <v/>
      </c>
    </row>
    <row r="575" spans="1:14" ht="11.85" customHeight="1" x14ac:dyDescent="0.2">
      <c r="A575" s="8">
        <v>46259</v>
      </c>
      <c r="B575" s="8"/>
      <c r="C575" s="7">
        <v>1021</v>
      </c>
      <c r="D575" s="4">
        <v>5</v>
      </c>
      <c r="E575" s="2">
        <v>25</v>
      </c>
      <c r="G575" s="9">
        <v>0</v>
      </c>
      <c r="H575" s="9"/>
      <c r="J575" s="10" t="s">
        <v>7</v>
      </c>
      <c r="K575" s="10"/>
      <c r="L575" s="10"/>
      <c r="M575" s="10"/>
      <c r="N575" t="str">
        <f>IFERROR(VLOOKUP(D575, Fornecedores!A:B, 2, FALSE), "")</f>
        <v/>
      </c>
    </row>
    <row r="576" spans="1:14" ht="11.85" customHeight="1" x14ac:dyDescent="0.2">
      <c r="A576" s="8">
        <v>46259</v>
      </c>
      <c r="B576" s="8"/>
      <c r="C576" s="7">
        <v>1021</v>
      </c>
      <c r="D576" s="4">
        <v>5</v>
      </c>
      <c r="E576" s="2">
        <v>43</v>
      </c>
      <c r="G576" s="9">
        <v>0</v>
      </c>
      <c r="H576" s="9"/>
      <c r="J576" s="10" t="s">
        <v>7</v>
      </c>
      <c r="K576" s="10"/>
      <c r="L576" s="10"/>
      <c r="M576" s="10"/>
      <c r="N576" t="str">
        <f>IFERROR(VLOOKUP(D576, Fornecedores!A:B, 2, FALSE), "")</f>
        <v/>
      </c>
    </row>
    <row r="577" spans="1:14" ht="11.85" customHeight="1" x14ac:dyDescent="0.2">
      <c r="A577" s="8">
        <v>46259</v>
      </c>
      <c r="B577" s="8"/>
      <c r="C577" s="7">
        <v>1021</v>
      </c>
      <c r="D577" s="4">
        <v>5</v>
      </c>
      <c r="E577" s="2">
        <v>22</v>
      </c>
      <c r="G577" s="9">
        <v>0</v>
      </c>
      <c r="H577" s="9"/>
      <c r="J577" s="10" t="s">
        <v>7</v>
      </c>
      <c r="K577" s="10"/>
      <c r="L577" s="10"/>
      <c r="M577" s="10"/>
      <c r="N577" t="str">
        <f>IFERROR(VLOOKUP(D577, Fornecedores!A:B, 2, FALSE), "")</f>
        <v/>
      </c>
    </row>
    <row r="578" spans="1:14" ht="11.85" customHeight="1" x14ac:dyDescent="0.2">
      <c r="A578" s="8">
        <v>46259</v>
      </c>
      <c r="B578" s="8"/>
      <c r="C578" s="7">
        <v>1021</v>
      </c>
      <c r="D578" s="4">
        <v>5</v>
      </c>
      <c r="E578" s="2">
        <v>142</v>
      </c>
      <c r="G578" s="9">
        <v>0</v>
      </c>
      <c r="H578" s="9"/>
      <c r="J578" s="10" t="s">
        <v>7</v>
      </c>
      <c r="K578" s="10"/>
      <c r="L578" s="10"/>
      <c r="M578" s="10"/>
      <c r="N578" t="str">
        <f>IFERROR(VLOOKUP(D578, Fornecedores!A:B, 2, FALSE), "")</f>
        <v/>
      </c>
    </row>
    <row r="579" spans="1:14" ht="11.85" customHeight="1" x14ac:dyDescent="0.2">
      <c r="A579" s="8">
        <v>46259</v>
      </c>
      <c r="B579" s="8"/>
      <c r="C579" s="7">
        <v>1021</v>
      </c>
      <c r="D579" s="4">
        <v>5</v>
      </c>
      <c r="E579" s="2">
        <v>212</v>
      </c>
      <c r="G579" s="9">
        <v>0</v>
      </c>
      <c r="H579" s="9"/>
      <c r="J579" s="10" t="s">
        <v>7</v>
      </c>
      <c r="K579" s="10"/>
      <c r="L579" s="10"/>
      <c r="M579" s="10"/>
      <c r="N579" t="str">
        <f>IFERROR(VLOOKUP(D579, Fornecedores!A:B, 2, FALSE), "")</f>
        <v/>
      </c>
    </row>
    <row r="580" spans="1:14" ht="11.85" customHeight="1" x14ac:dyDescent="0.2">
      <c r="A580" s="8">
        <v>46259</v>
      </c>
      <c r="B580" s="8"/>
      <c r="C580" s="7">
        <v>1021</v>
      </c>
      <c r="D580" s="4">
        <v>5</v>
      </c>
      <c r="E580" s="2">
        <v>123.5</v>
      </c>
      <c r="G580" s="9">
        <v>0</v>
      </c>
      <c r="H580" s="9"/>
      <c r="J580" s="10" t="s">
        <v>7</v>
      </c>
      <c r="K580" s="10"/>
      <c r="L580" s="10"/>
      <c r="M580" s="10"/>
      <c r="N580" t="str">
        <f>IFERROR(VLOOKUP(D580, Fornecedores!A:B, 2, FALSE), "")</f>
        <v/>
      </c>
    </row>
    <row r="581" spans="1:14" ht="11.85" customHeight="1" x14ac:dyDescent="0.2">
      <c r="A581" s="8">
        <v>46259</v>
      </c>
      <c r="B581" s="8"/>
      <c r="C581" s="7">
        <v>1021</v>
      </c>
      <c r="D581" s="4">
        <v>5</v>
      </c>
      <c r="E581" s="2">
        <v>2041.76</v>
      </c>
      <c r="G581" s="9">
        <v>0</v>
      </c>
      <c r="H581" s="9"/>
      <c r="J581" s="10" t="s">
        <v>7</v>
      </c>
      <c r="K581" s="10"/>
      <c r="L581" s="10"/>
      <c r="M581" s="10"/>
      <c r="N581" t="str">
        <f>IFERROR(VLOOKUP(D581, Fornecedores!A:B, 2, FALSE), "")</f>
        <v/>
      </c>
    </row>
    <row r="582" spans="1:14" ht="11.85" customHeight="1" x14ac:dyDescent="0.2">
      <c r="A582" s="8">
        <v>46259</v>
      </c>
      <c r="B582" s="8"/>
      <c r="C582" s="7">
        <v>1021</v>
      </c>
      <c r="D582" s="4">
        <v>5</v>
      </c>
      <c r="E582" s="2">
        <v>1352</v>
      </c>
      <c r="G582" s="9">
        <v>0</v>
      </c>
      <c r="H582" s="9"/>
      <c r="J582" s="10" t="s">
        <v>7</v>
      </c>
      <c r="K582" s="10"/>
      <c r="L582" s="10"/>
      <c r="M582" s="10"/>
      <c r="N582" t="str">
        <f>IFERROR(VLOOKUP(D582, Fornecedores!A:B, 2, FALSE), "")</f>
        <v/>
      </c>
    </row>
    <row r="583" spans="1:14" ht="11.85" customHeight="1" x14ac:dyDescent="0.2">
      <c r="A583" s="8">
        <v>46259</v>
      </c>
      <c r="B583" s="8"/>
      <c r="C583" s="7">
        <v>1021</v>
      </c>
      <c r="D583" s="4">
        <v>5</v>
      </c>
      <c r="E583" s="2">
        <v>2208.5300000000002</v>
      </c>
      <c r="G583" s="9">
        <v>0</v>
      </c>
      <c r="H583" s="9"/>
      <c r="J583" s="10" t="s">
        <v>7</v>
      </c>
      <c r="K583" s="10"/>
      <c r="L583" s="10"/>
      <c r="M583" s="10"/>
      <c r="N583" t="str">
        <f>IFERROR(VLOOKUP(D583, Fornecedores!A:B, 2, FALSE), "")</f>
        <v/>
      </c>
    </row>
    <row r="584" spans="1:14" ht="11.85" customHeight="1" x14ac:dyDescent="0.2">
      <c r="A584" s="8">
        <v>46259</v>
      </c>
      <c r="B584" s="8"/>
      <c r="C584" s="7">
        <v>1027</v>
      </c>
      <c r="D584" s="4">
        <v>5</v>
      </c>
      <c r="E584" s="2">
        <v>1998</v>
      </c>
      <c r="G584" s="9">
        <v>0</v>
      </c>
      <c r="H584" s="9"/>
      <c r="J584" s="10" t="s">
        <v>7</v>
      </c>
      <c r="K584" s="10"/>
      <c r="L584" s="10"/>
      <c r="M584" s="10"/>
      <c r="N584" t="str">
        <f>IFERROR(VLOOKUP(D584, Fornecedores!A:B, 2, FALSE), "")</f>
        <v/>
      </c>
    </row>
    <row r="585" spans="1:14" ht="11.85" customHeight="1" x14ac:dyDescent="0.2">
      <c r="A585" s="8">
        <v>46259</v>
      </c>
      <c r="B585" s="8"/>
      <c r="C585" s="7">
        <v>1761</v>
      </c>
      <c r="D585" s="4">
        <v>5</v>
      </c>
      <c r="E585" s="2">
        <v>4140</v>
      </c>
      <c r="G585" s="9">
        <v>0</v>
      </c>
      <c r="H585" s="9"/>
      <c r="J585" s="10" t="s">
        <v>7</v>
      </c>
      <c r="K585" s="10"/>
      <c r="L585" s="10"/>
      <c r="M585" s="10"/>
      <c r="N585" t="str">
        <f>IFERROR(VLOOKUP(D585, Fornecedores!A:B, 2, FALSE), "")</f>
        <v/>
      </c>
    </row>
    <row r="586" spans="1:14" ht="11.85" customHeight="1" x14ac:dyDescent="0.2">
      <c r="A586" s="8">
        <v>46259</v>
      </c>
      <c r="B586" s="8"/>
      <c r="C586" s="7">
        <v>1025</v>
      </c>
      <c r="D586" s="4">
        <v>526</v>
      </c>
      <c r="E586" s="2">
        <v>799.8</v>
      </c>
      <c r="G586" s="9">
        <v>0</v>
      </c>
      <c r="H586" s="9"/>
      <c r="J586" s="10" t="s">
        <v>7</v>
      </c>
      <c r="K586" s="10"/>
      <c r="L586" s="10"/>
      <c r="M586" s="10"/>
      <c r="N586" t="str">
        <f>IFERROR(VLOOKUP(D586, Fornecedores!A:B, 2, FALSE), "")</f>
        <v>FERPAM COM. DE FERRAMENTAS PARAFUSOS E MAQUINAS LTDA</v>
      </c>
    </row>
    <row r="587" spans="1:14" ht="11.85" customHeight="1" x14ac:dyDescent="0.2">
      <c r="A587" s="8">
        <v>46259</v>
      </c>
      <c r="B587" s="8"/>
      <c r="C587" s="7">
        <v>1025</v>
      </c>
      <c r="D587" s="4">
        <v>526</v>
      </c>
      <c r="E587" s="2">
        <v>816.55</v>
      </c>
      <c r="G587" s="9">
        <v>0</v>
      </c>
      <c r="H587" s="9"/>
      <c r="J587" s="10" t="s">
        <v>7</v>
      </c>
      <c r="K587" s="10"/>
      <c r="L587" s="10"/>
      <c r="M587" s="10"/>
      <c r="N587" t="str">
        <f>IFERROR(VLOOKUP(D587, Fornecedores!A:B, 2, FALSE), "")</f>
        <v>FERPAM COM. DE FERRAMENTAS PARAFUSOS E MAQUINAS LTDA</v>
      </c>
    </row>
    <row r="588" spans="1:14" ht="11.85" customHeight="1" x14ac:dyDescent="0.2">
      <c r="A588" s="8">
        <v>46259</v>
      </c>
      <c r="B588" s="8"/>
      <c r="C588" s="7">
        <v>916</v>
      </c>
      <c r="D588" s="4">
        <v>537</v>
      </c>
      <c r="E588" s="2">
        <v>1275</v>
      </c>
      <c r="G588" s="9">
        <v>0</v>
      </c>
      <c r="H588" s="9"/>
      <c r="J588" s="10" t="s">
        <v>7</v>
      </c>
      <c r="K588" s="10"/>
      <c r="L588" s="10"/>
      <c r="M588" s="10"/>
      <c r="N588" t="str">
        <f>IFERROR(VLOOKUP(D588, Fornecedores!A:B, 2, FALSE), "")</f>
        <v>ENGSIK IMPERMEABILIZACOES EIRELI - EPP</v>
      </c>
    </row>
    <row r="589" spans="1:14" ht="11.85" customHeight="1" x14ac:dyDescent="0.2">
      <c r="A589" s="8">
        <v>46259</v>
      </c>
      <c r="B589" s="8"/>
      <c r="C589" s="7">
        <v>1025</v>
      </c>
      <c r="D589" s="4">
        <v>1550</v>
      </c>
      <c r="E589" s="2">
        <v>144.5</v>
      </c>
      <c r="G589" s="9">
        <v>0</v>
      </c>
      <c r="H589" s="9"/>
      <c r="J589" s="10" t="s">
        <v>7</v>
      </c>
      <c r="K589" s="10"/>
      <c r="L589" s="10"/>
      <c r="M589" s="10"/>
      <c r="N589" t="str">
        <f>IFERROR(VLOOKUP(D589, Fornecedores!A:B, 2, FALSE), "")</f>
        <v>CASA DOS PARAFUSOS COMERCIO DE FERRAGENS E FERRAMENTAS LTDA</v>
      </c>
    </row>
    <row r="590" spans="1:14" ht="11.85" customHeight="1" x14ac:dyDescent="0.2">
      <c r="A590" s="8">
        <v>46259</v>
      </c>
      <c r="B590" s="8"/>
      <c r="C590" s="7">
        <v>912</v>
      </c>
      <c r="D590" s="4">
        <v>1573</v>
      </c>
      <c r="E590" s="2">
        <v>195</v>
      </c>
      <c r="G590" s="9">
        <v>0</v>
      </c>
      <c r="H590" s="9"/>
      <c r="J590" s="10" t="s">
        <v>7</v>
      </c>
      <c r="K590" s="10"/>
      <c r="L590" s="10"/>
      <c r="M590" s="10"/>
      <c r="N590" t="str">
        <f>IFERROR(VLOOKUP(D590, Fornecedores!A:B, 2, FALSE), "")</f>
        <v>FERROTEC DISTRIBUIDORA DE FERRO E ACO LTDA.</v>
      </c>
    </row>
    <row r="591" spans="1:14" ht="11.85" customHeight="1" x14ac:dyDescent="0.2">
      <c r="A591" s="8">
        <v>46259</v>
      </c>
      <c r="B591" s="8"/>
      <c r="C591" s="7">
        <v>272</v>
      </c>
      <c r="D591" s="4">
        <v>1743</v>
      </c>
      <c r="E591" s="2">
        <v>300</v>
      </c>
      <c r="G591" s="9">
        <v>0</v>
      </c>
      <c r="H591" s="9"/>
      <c r="J591" s="10" t="s">
        <v>7</v>
      </c>
      <c r="K591" s="10"/>
      <c r="L591" s="10"/>
      <c r="M591" s="10"/>
      <c r="N591" t="str">
        <f>IFERROR(VLOOKUP(D591, Fornecedores!A:B, 2, FALSE), "")</f>
        <v>BARBOSA E ANJOS LTDA</v>
      </c>
    </row>
    <row r="592" spans="1:14" ht="11.85" customHeight="1" x14ac:dyDescent="0.2">
      <c r="A592" s="8">
        <v>46260</v>
      </c>
      <c r="B592" s="8"/>
      <c r="C592" s="4">
        <v>5</v>
      </c>
      <c r="D592" s="4">
        <v>467</v>
      </c>
      <c r="E592" s="2">
        <v>100.45</v>
      </c>
      <c r="G592" s="9">
        <v>0</v>
      </c>
      <c r="H592" s="9"/>
      <c r="J592" s="10" t="s">
        <v>6</v>
      </c>
      <c r="K592" s="10"/>
      <c r="L592" s="10"/>
      <c r="M592" s="10"/>
      <c r="N592" t="str">
        <f>IFERROR(VLOOKUP(D592, Fornecedores!A:B, 2, FALSE), "")</f>
        <v/>
      </c>
    </row>
    <row r="593" spans="1:14" ht="11.85" customHeight="1" x14ac:dyDescent="0.2">
      <c r="A593" s="8">
        <v>46260</v>
      </c>
      <c r="B593" s="8"/>
      <c r="C593" s="7">
        <v>1021</v>
      </c>
      <c r="D593" s="4">
        <v>5</v>
      </c>
      <c r="E593" s="2">
        <v>70</v>
      </c>
      <c r="G593" s="9">
        <v>0</v>
      </c>
      <c r="H593" s="9"/>
      <c r="J593" s="10" t="s">
        <v>7</v>
      </c>
      <c r="K593" s="10"/>
      <c r="L593" s="10"/>
      <c r="M593" s="10"/>
      <c r="N593" t="str">
        <f>IFERROR(VLOOKUP(D593, Fornecedores!A:B, 2, FALSE), "")</f>
        <v/>
      </c>
    </row>
    <row r="594" spans="1:14" ht="11.85" customHeight="1" x14ac:dyDescent="0.2">
      <c r="A594" s="8">
        <v>46260</v>
      </c>
      <c r="B594" s="8"/>
      <c r="C594" s="7">
        <v>1021</v>
      </c>
      <c r="D594" s="4">
        <v>5</v>
      </c>
      <c r="E594" s="2">
        <v>560</v>
      </c>
      <c r="G594" s="9">
        <v>0</v>
      </c>
      <c r="H594" s="9"/>
      <c r="J594" s="10" t="s">
        <v>7</v>
      </c>
      <c r="K594" s="10"/>
      <c r="L594" s="10"/>
      <c r="M594" s="10"/>
      <c r="N594" t="str">
        <f>IFERROR(VLOOKUP(D594, Fornecedores!A:B, 2, FALSE), "")</f>
        <v/>
      </c>
    </row>
    <row r="595" spans="1:14" ht="11.85" customHeight="1" x14ac:dyDescent="0.2">
      <c r="A595" s="8">
        <v>46260</v>
      </c>
      <c r="B595" s="8"/>
      <c r="C595" s="7">
        <v>1021</v>
      </c>
      <c r="D595" s="4">
        <v>5</v>
      </c>
      <c r="E595" s="2">
        <v>45</v>
      </c>
      <c r="G595" s="9">
        <v>0</v>
      </c>
      <c r="H595" s="9"/>
      <c r="J595" s="10" t="s">
        <v>7</v>
      </c>
      <c r="K595" s="10"/>
      <c r="L595" s="10"/>
      <c r="M595" s="10"/>
      <c r="N595" t="str">
        <f>IFERROR(VLOOKUP(D595, Fornecedores!A:B, 2, FALSE), "")</f>
        <v/>
      </c>
    </row>
    <row r="596" spans="1:14" ht="11.85" customHeight="1" x14ac:dyDescent="0.2">
      <c r="A596" s="8">
        <v>46260</v>
      </c>
      <c r="B596" s="8"/>
      <c r="C596" s="7">
        <v>913</v>
      </c>
      <c r="D596" s="4">
        <v>5</v>
      </c>
      <c r="E596" s="2">
        <v>156.21</v>
      </c>
      <c r="G596" s="9">
        <v>0</v>
      </c>
      <c r="H596" s="9"/>
      <c r="J596" s="10" t="s">
        <v>7</v>
      </c>
      <c r="K596" s="10"/>
      <c r="L596" s="10"/>
      <c r="M596" s="10"/>
      <c r="N596" t="str">
        <f>IFERROR(VLOOKUP(D596, Fornecedores!A:B, 2, FALSE), "")</f>
        <v/>
      </c>
    </row>
    <row r="597" spans="1:14" ht="11.85" customHeight="1" x14ac:dyDescent="0.2">
      <c r="A597" s="8">
        <v>46260</v>
      </c>
      <c r="B597" s="8"/>
      <c r="C597" s="7">
        <v>1021</v>
      </c>
      <c r="D597" s="4">
        <v>5</v>
      </c>
      <c r="E597" s="2">
        <v>30</v>
      </c>
      <c r="G597" s="9">
        <v>0</v>
      </c>
      <c r="H597" s="9"/>
      <c r="J597" s="10" t="s">
        <v>7</v>
      </c>
      <c r="K597" s="10"/>
      <c r="L597" s="10"/>
      <c r="M597" s="10"/>
      <c r="N597" t="str">
        <f>IFERROR(VLOOKUP(D597, Fornecedores!A:B, 2, FALSE), "")</f>
        <v/>
      </c>
    </row>
    <row r="598" spans="1:14" ht="11.85" customHeight="1" x14ac:dyDescent="0.2">
      <c r="A598" s="8">
        <v>46260</v>
      </c>
      <c r="B598" s="8"/>
      <c r="C598" s="7">
        <v>1021</v>
      </c>
      <c r="D598" s="4">
        <v>5</v>
      </c>
      <c r="E598" s="2">
        <v>3017.04</v>
      </c>
      <c r="G598" s="9">
        <v>0</v>
      </c>
      <c r="H598" s="9"/>
      <c r="J598" s="10" t="s">
        <v>7</v>
      </c>
      <c r="K598" s="10"/>
      <c r="L598" s="10"/>
      <c r="M598" s="10"/>
      <c r="N598" t="str">
        <f>IFERROR(VLOOKUP(D598, Fornecedores!A:B, 2, FALSE), "")</f>
        <v/>
      </c>
    </row>
    <row r="599" spans="1:14" ht="11.85" customHeight="1" x14ac:dyDescent="0.2">
      <c r="A599" s="8">
        <v>46260</v>
      </c>
      <c r="B599" s="8"/>
      <c r="C599" s="7">
        <v>1021</v>
      </c>
      <c r="D599" s="4">
        <v>5</v>
      </c>
      <c r="E599" s="2">
        <v>81</v>
      </c>
      <c r="G599" s="9">
        <v>0</v>
      </c>
      <c r="H599" s="9"/>
      <c r="J599" s="10" t="s">
        <v>7</v>
      </c>
      <c r="K599" s="10"/>
      <c r="L599" s="10"/>
      <c r="M599" s="10"/>
      <c r="N599" t="str">
        <f>IFERROR(VLOOKUP(D599, Fornecedores!A:B, 2, FALSE), "")</f>
        <v/>
      </c>
    </row>
    <row r="600" spans="1:14" ht="11.85" customHeight="1" x14ac:dyDescent="0.2">
      <c r="A600" s="8">
        <v>46260</v>
      </c>
      <c r="B600" s="8"/>
      <c r="C600" s="7">
        <v>1021</v>
      </c>
      <c r="D600" s="4">
        <v>5</v>
      </c>
      <c r="E600" s="2">
        <v>2883.26</v>
      </c>
      <c r="G600" s="9">
        <v>0</v>
      </c>
      <c r="H600" s="9"/>
      <c r="J600" s="10" t="s">
        <v>7</v>
      </c>
      <c r="K600" s="10"/>
      <c r="L600" s="10"/>
      <c r="M600" s="10"/>
      <c r="N600" t="str">
        <f>IFERROR(VLOOKUP(D600, Fornecedores!A:B, 2, FALSE), "")</f>
        <v/>
      </c>
    </row>
    <row r="601" spans="1:14" ht="11.85" customHeight="1" x14ac:dyDescent="0.2">
      <c r="A601" s="8">
        <v>46260</v>
      </c>
      <c r="B601" s="8"/>
      <c r="C601" s="7">
        <v>1021</v>
      </c>
      <c r="D601" s="4">
        <v>5</v>
      </c>
      <c r="E601" s="2">
        <v>498</v>
      </c>
      <c r="G601" s="9">
        <v>0</v>
      </c>
      <c r="H601" s="9"/>
      <c r="J601" s="10" t="s">
        <v>7</v>
      </c>
      <c r="K601" s="10"/>
      <c r="L601" s="10"/>
      <c r="M601" s="10"/>
      <c r="N601" t="str">
        <f>IFERROR(VLOOKUP(D601, Fornecedores!A:B, 2, FALSE), "")</f>
        <v/>
      </c>
    </row>
    <row r="602" spans="1:14" ht="11.85" customHeight="1" x14ac:dyDescent="0.2">
      <c r="A602" s="8">
        <v>46260</v>
      </c>
      <c r="B602" s="8"/>
      <c r="C602" s="7">
        <v>923</v>
      </c>
      <c r="D602" s="4">
        <v>5</v>
      </c>
      <c r="E602" s="2">
        <v>740</v>
      </c>
      <c r="G602" s="9">
        <v>0</v>
      </c>
      <c r="H602" s="9"/>
      <c r="J602" s="10" t="s">
        <v>7</v>
      </c>
      <c r="K602" s="10"/>
      <c r="L602" s="10"/>
      <c r="M602" s="10"/>
      <c r="N602" t="str">
        <f>IFERROR(VLOOKUP(D602, Fornecedores!A:B, 2, FALSE), "")</f>
        <v/>
      </c>
    </row>
    <row r="603" spans="1:14" ht="11.85" customHeight="1" x14ac:dyDescent="0.2">
      <c r="A603" s="8">
        <v>46260</v>
      </c>
      <c r="B603" s="8"/>
      <c r="C603" s="7">
        <v>2013</v>
      </c>
      <c r="D603" s="4">
        <v>5</v>
      </c>
      <c r="E603" s="2">
        <v>90</v>
      </c>
      <c r="G603" s="9">
        <v>0</v>
      </c>
      <c r="H603" s="9"/>
      <c r="J603" s="10" t="s">
        <v>7</v>
      </c>
      <c r="K603" s="10"/>
      <c r="L603" s="10"/>
      <c r="M603" s="10"/>
      <c r="N603" t="str">
        <f>IFERROR(VLOOKUP(D603, Fornecedores!A:B, 2, FALSE), "")</f>
        <v/>
      </c>
    </row>
    <row r="604" spans="1:14" ht="11.85" customHeight="1" x14ac:dyDescent="0.2">
      <c r="A604" s="8">
        <v>46260</v>
      </c>
      <c r="B604" s="8"/>
      <c r="C604" s="7">
        <v>1647</v>
      </c>
      <c r="D604" s="4">
        <v>5</v>
      </c>
      <c r="E604" s="2">
        <v>421.12</v>
      </c>
      <c r="G604" s="9">
        <v>0</v>
      </c>
      <c r="H604" s="9"/>
      <c r="J604" s="10" t="s">
        <v>7</v>
      </c>
      <c r="K604" s="10"/>
      <c r="L604" s="10"/>
      <c r="M604" s="10"/>
      <c r="N604" t="str">
        <f>IFERROR(VLOOKUP(D604, Fornecedores!A:B, 2, FALSE), "")</f>
        <v/>
      </c>
    </row>
    <row r="605" spans="1:14" ht="11.85" customHeight="1" x14ac:dyDescent="0.2">
      <c r="A605" s="8">
        <v>46260</v>
      </c>
      <c r="B605" s="8"/>
      <c r="C605" s="7">
        <v>1020</v>
      </c>
      <c r="D605" s="4">
        <v>5</v>
      </c>
      <c r="E605" s="2">
        <v>82.8</v>
      </c>
      <c r="G605" s="9">
        <v>0</v>
      </c>
      <c r="H605" s="9"/>
      <c r="J605" s="10" t="s">
        <v>7</v>
      </c>
      <c r="K605" s="10"/>
      <c r="L605" s="10"/>
      <c r="M605" s="10"/>
      <c r="N605" t="str">
        <f>IFERROR(VLOOKUP(D605, Fornecedores!A:B, 2, FALSE), "")</f>
        <v/>
      </c>
    </row>
    <row r="606" spans="1:14" ht="11.85" customHeight="1" x14ac:dyDescent="0.2">
      <c r="A606" s="8">
        <v>46260</v>
      </c>
      <c r="B606" s="8"/>
      <c r="C606" s="7">
        <v>1027</v>
      </c>
      <c r="D606" s="4">
        <v>5</v>
      </c>
      <c r="E606" s="2">
        <v>54.4</v>
      </c>
      <c r="G606" s="9">
        <v>0</v>
      </c>
      <c r="H606" s="9"/>
      <c r="J606" s="10" t="s">
        <v>7</v>
      </c>
      <c r="K606" s="10"/>
      <c r="L606" s="10"/>
      <c r="M606" s="10"/>
      <c r="N606" t="str">
        <f>IFERROR(VLOOKUP(D606, Fornecedores!A:B, 2, FALSE), "")</f>
        <v/>
      </c>
    </row>
    <row r="607" spans="1:14" ht="11.85" customHeight="1" x14ac:dyDescent="0.2">
      <c r="A607" s="8">
        <v>46260</v>
      </c>
      <c r="B607" s="8"/>
      <c r="C607" s="7">
        <v>1027</v>
      </c>
      <c r="D607" s="4">
        <v>5</v>
      </c>
      <c r="E607" s="2">
        <v>60.72</v>
      </c>
      <c r="G607" s="9">
        <v>0</v>
      </c>
      <c r="H607" s="9"/>
      <c r="J607" s="10" t="s">
        <v>7</v>
      </c>
      <c r="K607" s="10"/>
      <c r="L607" s="10"/>
      <c r="M607" s="10"/>
      <c r="N607" t="str">
        <f>IFERROR(VLOOKUP(D607, Fornecedores!A:B, 2, FALSE), "")</f>
        <v/>
      </c>
    </row>
    <row r="608" spans="1:14" ht="11.85" customHeight="1" x14ac:dyDescent="0.2">
      <c r="A608" s="8">
        <v>46260</v>
      </c>
      <c r="B608" s="8"/>
      <c r="C608" s="7">
        <v>1027</v>
      </c>
      <c r="D608" s="4">
        <v>5</v>
      </c>
      <c r="E608" s="2">
        <v>25</v>
      </c>
      <c r="G608" s="9">
        <v>0</v>
      </c>
      <c r="H608" s="9"/>
      <c r="J608" s="10" t="s">
        <v>7</v>
      </c>
      <c r="K608" s="10"/>
      <c r="L608" s="10"/>
      <c r="M608" s="10"/>
      <c r="N608" t="str">
        <f>IFERROR(VLOOKUP(D608, Fornecedores!A:B, 2, FALSE), "")</f>
        <v/>
      </c>
    </row>
    <row r="609" spans="1:14" ht="11.85" customHeight="1" x14ac:dyDescent="0.2">
      <c r="A609" s="8">
        <v>46260</v>
      </c>
      <c r="B609" s="8"/>
      <c r="C609" s="7">
        <v>1027</v>
      </c>
      <c r="D609" s="4">
        <v>5</v>
      </c>
      <c r="E609" s="2">
        <v>5.99</v>
      </c>
      <c r="G609" s="9">
        <v>0</v>
      </c>
      <c r="H609" s="9"/>
      <c r="J609" s="10" t="s">
        <v>7</v>
      </c>
      <c r="K609" s="10"/>
      <c r="L609" s="10"/>
      <c r="M609" s="10"/>
      <c r="N609" t="str">
        <f>IFERROR(VLOOKUP(D609, Fornecedores!A:B, 2, FALSE), "")</f>
        <v/>
      </c>
    </row>
    <row r="610" spans="1:14" ht="11.85" customHeight="1" x14ac:dyDescent="0.2">
      <c r="A610" s="8">
        <v>46260</v>
      </c>
      <c r="B610" s="8"/>
      <c r="C610" s="7">
        <v>1025</v>
      </c>
      <c r="D610" s="4">
        <v>5</v>
      </c>
      <c r="E610" s="2">
        <v>5230.91</v>
      </c>
      <c r="G610" s="9">
        <v>0</v>
      </c>
      <c r="H610" s="9"/>
      <c r="J610" s="10" t="s">
        <v>7</v>
      </c>
      <c r="K610" s="10"/>
      <c r="L610" s="10"/>
      <c r="M610" s="10"/>
      <c r="N610" t="str">
        <f>IFERROR(VLOOKUP(D610, Fornecedores!A:B, 2, FALSE), "")</f>
        <v/>
      </c>
    </row>
    <row r="611" spans="1:14" ht="11.85" customHeight="1" x14ac:dyDescent="0.2">
      <c r="A611" s="8">
        <v>46260</v>
      </c>
      <c r="B611" s="8"/>
      <c r="C611" s="7">
        <v>1647</v>
      </c>
      <c r="D611" s="4">
        <v>519</v>
      </c>
      <c r="E611" s="2">
        <v>988.99</v>
      </c>
      <c r="G611" s="9">
        <v>0</v>
      </c>
      <c r="H611" s="9"/>
      <c r="J611" s="10" t="s">
        <v>7</v>
      </c>
      <c r="K611" s="10"/>
      <c r="L611" s="10"/>
      <c r="M611" s="10"/>
      <c r="N611" t="str">
        <f>IFERROR(VLOOKUP(D611, Fornecedores!A:B, 2, FALSE), "")</f>
        <v>ENCANEL COM. DE MAT. DE CONST. LTDA</v>
      </c>
    </row>
    <row r="612" spans="1:14" ht="11.85" customHeight="1" x14ac:dyDescent="0.2">
      <c r="A612" s="8">
        <v>46260</v>
      </c>
      <c r="B612" s="8"/>
      <c r="C612" s="7">
        <v>928</v>
      </c>
      <c r="D612" s="4">
        <v>520</v>
      </c>
      <c r="E612" s="2">
        <v>209</v>
      </c>
      <c r="G612" s="9">
        <v>0</v>
      </c>
      <c r="H612" s="9"/>
      <c r="J612" s="10" t="s">
        <v>7</v>
      </c>
      <c r="K612" s="10"/>
      <c r="L612" s="10"/>
      <c r="M612" s="10"/>
      <c r="N612" t="str">
        <f>IFERROR(VLOOKUP(D612, Fornecedores!A:B, 2, FALSE), "")</f>
        <v>RENACOR COM. DE TINTAS LTDA (TAQUARALTO)</v>
      </c>
    </row>
    <row r="613" spans="1:14" ht="11.85" customHeight="1" x14ac:dyDescent="0.2">
      <c r="A613" s="8">
        <v>46260</v>
      </c>
      <c r="B613" s="8"/>
      <c r="C613" s="7">
        <v>1024</v>
      </c>
      <c r="D613" s="4">
        <v>520</v>
      </c>
      <c r="E613" s="2">
        <v>2352</v>
      </c>
      <c r="G613" s="9">
        <v>0</v>
      </c>
      <c r="H613" s="9"/>
      <c r="J613" s="10" t="s">
        <v>7</v>
      </c>
      <c r="K613" s="10"/>
      <c r="L613" s="10"/>
      <c r="M613" s="10"/>
      <c r="N613" t="str">
        <f>IFERROR(VLOOKUP(D613, Fornecedores!A:B, 2, FALSE), "")</f>
        <v>RENACOR COM. DE TINTAS LTDA (TAQUARALTO)</v>
      </c>
    </row>
    <row r="614" spans="1:14" ht="11.85" customHeight="1" x14ac:dyDescent="0.2">
      <c r="A614" s="8">
        <v>46260</v>
      </c>
      <c r="B614" s="8"/>
      <c r="C614" s="7">
        <v>2138</v>
      </c>
      <c r="D614" s="4">
        <v>526</v>
      </c>
      <c r="E614" s="2">
        <v>387.89</v>
      </c>
      <c r="G614" s="9">
        <v>0</v>
      </c>
      <c r="H614" s="9"/>
      <c r="J614" s="10" t="s">
        <v>7</v>
      </c>
      <c r="K614" s="10"/>
      <c r="L614" s="10"/>
      <c r="M614" s="10"/>
      <c r="N614" t="str">
        <f>IFERROR(VLOOKUP(D614, Fornecedores!A:B, 2, FALSE), "")</f>
        <v>FERPAM COM. DE FERRAMENTAS PARAFUSOS E MAQUINAS LTDA</v>
      </c>
    </row>
    <row r="615" spans="1:14" ht="11.85" customHeight="1" x14ac:dyDescent="0.2">
      <c r="A615" s="8">
        <v>46260</v>
      </c>
      <c r="B615" s="8"/>
      <c r="C615" s="7">
        <v>2138</v>
      </c>
      <c r="D615" s="4">
        <v>526</v>
      </c>
      <c r="E615" s="2">
        <v>46.72</v>
      </c>
      <c r="G615" s="9">
        <v>0</v>
      </c>
      <c r="H615" s="9"/>
      <c r="J615" s="10" t="s">
        <v>7</v>
      </c>
      <c r="K615" s="10"/>
      <c r="L615" s="10"/>
      <c r="M615" s="10"/>
      <c r="N615" t="str">
        <f>IFERROR(VLOOKUP(D615, Fornecedores!A:B, 2, FALSE), "")</f>
        <v>FERPAM COM. DE FERRAMENTAS PARAFUSOS E MAQUINAS LTDA</v>
      </c>
    </row>
    <row r="616" spans="1:14" ht="11.85" customHeight="1" x14ac:dyDescent="0.2">
      <c r="A616" s="8">
        <v>46260</v>
      </c>
      <c r="B616" s="8"/>
      <c r="C616" s="7">
        <v>1027</v>
      </c>
      <c r="D616" s="4">
        <v>526</v>
      </c>
      <c r="E616" s="2">
        <v>147.82</v>
      </c>
      <c r="G616" s="9">
        <v>0</v>
      </c>
      <c r="H616" s="9"/>
      <c r="J616" s="10" t="s">
        <v>7</v>
      </c>
      <c r="K616" s="10"/>
      <c r="L616" s="10"/>
      <c r="M616" s="10"/>
      <c r="N616" t="str">
        <f>IFERROR(VLOOKUP(D616, Fornecedores!A:B, 2, FALSE), "")</f>
        <v>FERPAM COM. DE FERRAMENTAS PARAFUSOS E MAQUINAS LTDA</v>
      </c>
    </row>
    <row r="617" spans="1:14" ht="11.85" customHeight="1" x14ac:dyDescent="0.2">
      <c r="A617" s="8">
        <v>46260</v>
      </c>
      <c r="B617" s="8"/>
      <c r="C617" s="7">
        <v>982</v>
      </c>
      <c r="D617" s="4">
        <v>655</v>
      </c>
      <c r="E617" s="2">
        <v>1695.3</v>
      </c>
      <c r="G617" s="9">
        <v>0</v>
      </c>
      <c r="H617" s="9"/>
      <c r="J617" s="10" t="s">
        <v>7</v>
      </c>
      <c r="K617" s="10"/>
      <c r="L617" s="10"/>
      <c r="M617" s="10"/>
      <c r="N617" t="str">
        <f>IFERROR(VLOOKUP(D617, Fornecedores!A:B, 2, FALSE), "")</f>
        <v>DIST. DE FERROS E ACO B-R LTDA</v>
      </c>
    </row>
    <row r="618" spans="1:14" ht="11.85" customHeight="1" x14ac:dyDescent="0.2">
      <c r="A618" s="8">
        <v>46260</v>
      </c>
      <c r="B618" s="8"/>
      <c r="C618" s="7">
        <v>2047</v>
      </c>
      <c r="D618" s="4">
        <v>1295</v>
      </c>
      <c r="E618" s="2">
        <v>9723.86</v>
      </c>
      <c r="G618" s="9">
        <v>0</v>
      </c>
      <c r="H618" s="9"/>
      <c r="J618" s="10" t="s">
        <v>7</v>
      </c>
      <c r="K618" s="10"/>
      <c r="L618" s="10"/>
      <c r="M618" s="10"/>
      <c r="N618" t="str">
        <f>IFERROR(VLOOKUP(D618, Fornecedores!A:B, 2, FALSE), "")</f>
        <v>DIVIPLACAS COMERCIO E SERVICOS DE DIVISORIAS LTDA</v>
      </c>
    </row>
    <row r="619" spans="1:14" ht="11.85" customHeight="1" x14ac:dyDescent="0.2">
      <c r="A619" s="8">
        <v>46260</v>
      </c>
      <c r="B619" s="8"/>
      <c r="C619" s="7">
        <v>2047</v>
      </c>
      <c r="D619" s="4">
        <v>1295</v>
      </c>
      <c r="E619" s="2">
        <v>626.14</v>
      </c>
      <c r="G619" s="9">
        <v>0</v>
      </c>
      <c r="H619" s="9"/>
      <c r="J619" s="10" t="s">
        <v>7</v>
      </c>
      <c r="K619" s="10"/>
      <c r="L619" s="10"/>
      <c r="M619" s="10"/>
      <c r="N619" t="str">
        <f>IFERROR(VLOOKUP(D619, Fornecedores!A:B, 2, FALSE), "")</f>
        <v>DIVIPLACAS COMERCIO E SERVICOS DE DIVISORIAS LTDA</v>
      </c>
    </row>
    <row r="620" spans="1:14" ht="11.85" customHeight="1" x14ac:dyDescent="0.2">
      <c r="A620" s="8">
        <v>46260</v>
      </c>
      <c r="B620" s="8"/>
      <c r="C620" s="7">
        <v>2125</v>
      </c>
      <c r="D620" s="4">
        <v>1295</v>
      </c>
      <c r="E620" s="2">
        <v>4056.19</v>
      </c>
      <c r="G620" s="9">
        <v>0</v>
      </c>
      <c r="H620" s="9"/>
      <c r="J620" s="10" t="s">
        <v>7</v>
      </c>
      <c r="K620" s="10"/>
      <c r="L620" s="10"/>
      <c r="M620" s="10"/>
      <c r="N620" t="str">
        <f>IFERROR(VLOOKUP(D620, Fornecedores!A:B, 2, FALSE), "")</f>
        <v>DIVIPLACAS COMERCIO E SERVICOS DE DIVISORIAS LTDA</v>
      </c>
    </row>
    <row r="621" spans="1:14" ht="11.85" customHeight="1" x14ac:dyDescent="0.2">
      <c r="A621" s="8">
        <v>46260</v>
      </c>
      <c r="B621" s="8"/>
      <c r="C621" s="7">
        <v>2125</v>
      </c>
      <c r="D621" s="4">
        <v>1295</v>
      </c>
      <c r="E621" s="2">
        <v>144.19999999999999</v>
      </c>
      <c r="G621" s="9">
        <v>0</v>
      </c>
      <c r="H621" s="9"/>
      <c r="J621" s="10" t="s">
        <v>7</v>
      </c>
      <c r="K621" s="10"/>
      <c r="L621" s="10"/>
      <c r="M621" s="10"/>
      <c r="N621" t="str">
        <f>IFERROR(VLOOKUP(D621, Fornecedores!A:B, 2, FALSE), "")</f>
        <v>DIVIPLACAS COMERCIO E SERVICOS DE DIVISORIAS LTDA</v>
      </c>
    </row>
    <row r="622" spans="1:14" ht="11.85" customHeight="1" x14ac:dyDescent="0.2">
      <c r="A622" s="8">
        <v>46260</v>
      </c>
      <c r="B622" s="8"/>
      <c r="C622" s="7">
        <v>1027</v>
      </c>
      <c r="D622" s="4">
        <v>1295</v>
      </c>
      <c r="E622" s="2">
        <v>828.2</v>
      </c>
      <c r="G622" s="9">
        <v>0</v>
      </c>
      <c r="H622" s="9"/>
      <c r="J622" s="10" t="s">
        <v>7</v>
      </c>
      <c r="K622" s="10"/>
      <c r="L622" s="10"/>
      <c r="M622" s="10"/>
      <c r="N622" t="str">
        <f>IFERROR(VLOOKUP(D622, Fornecedores!A:B, 2, FALSE), "")</f>
        <v>DIVIPLACAS COMERCIO E SERVICOS DE DIVISORIAS LTDA</v>
      </c>
    </row>
    <row r="623" spans="1:14" ht="11.85" customHeight="1" x14ac:dyDescent="0.2">
      <c r="A623" s="8">
        <v>46260</v>
      </c>
      <c r="B623" s="8"/>
      <c r="C623" s="7">
        <v>1027</v>
      </c>
      <c r="D623" s="4">
        <v>1295</v>
      </c>
      <c r="E623" s="2">
        <v>19.2</v>
      </c>
      <c r="G623" s="9">
        <v>0</v>
      </c>
      <c r="H623" s="9"/>
      <c r="J623" s="10" t="s">
        <v>7</v>
      </c>
      <c r="K623" s="10"/>
      <c r="L623" s="10"/>
      <c r="M623" s="10"/>
      <c r="N623" t="str">
        <f>IFERROR(VLOOKUP(D623, Fornecedores!A:B, 2, FALSE), "")</f>
        <v>DIVIPLACAS COMERCIO E SERVICOS DE DIVISORIAS LTDA</v>
      </c>
    </row>
    <row r="624" spans="1:14" ht="11.85" customHeight="1" x14ac:dyDescent="0.2">
      <c r="A624" s="8">
        <v>46260</v>
      </c>
      <c r="B624" s="8"/>
      <c r="C624" s="7">
        <v>2026</v>
      </c>
      <c r="D624" s="4">
        <v>1573</v>
      </c>
      <c r="E624" s="2">
        <v>755</v>
      </c>
      <c r="G624" s="9">
        <v>0</v>
      </c>
      <c r="H624" s="9"/>
      <c r="J624" s="10" t="s">
        <v>7</v>
      </c>
      <c r="K624" s="10"/>
      <c r="L624" s="10"/>
      <c r="M624" s="10"/>
      <c r="N624" t="str">
        <f>IFERROR(VLOOKUP(D624, Fornecedores!A:B, 2, FALSE), "")</f>
        <v>FERROTEC DISTRIBUIDORA DE FERRO E ACO LTDA.</v>
      </c>
    </row>
    <row r="625" spans="1:14" ht="11.85" customHeight="1" x14ac:dyDescent="0.2">
      <c r="A625" s="8">
        <v>46260</v>
      </c>
      <c r="B625" s="8"/>
      <c r="C625" s="7">
        <v>1665</v>
      </c>
      <c r="D625" s="4">
        <v>1629</v>
      </c>
      <c r="E625" s="2">
        <v>260</v>
      </c>
      <c r="G625" s="9">
        <v>0</v>
      </c>
      <c r="H625" s="9"/>
      <c r="J625" s="10" t="s">
        <v>7</v>
      </c>
      <c r="K625" s="10"/>
      <c r="L625" s="10"/>
      <c r="M625" s="10"/>
      <c r="N625" t="str">
        <f>IFERROR(VLOOKUP(D625, Fornecedores!A:B, 2, FALSE), "")</f>
        <v>MADEIREIRA SANTA ROSA LTDA</v>
      </c>
    </row>
    <row r="626" spans="1:14" ht="11.85" customHeight="1" x14ac:dyDescent="0.2">
      <c r="A626" s="8">
        <v>46260</v>
      </c>
      <c r="B626" s="8"/>
      <c r="C626" s="7">
        <v>1027</v>
      </c>
      <c r="D626" s="4">
        <v>1750</v>
      </c>
      <c r="E626" s="2">
        <v>515</v>
      </c>
      <c r="G626" s="9">
        <v>0</v>
      </c>
      <c r="H626" s="9"/>
      <c r="J626" s="10" t="s">
        <v>7</v>
      </c>
      <c r="K626" s="10"/>
      <c r="L626" s="10"/>
      <c r="M626" s="10"/>
      <c r="N626" t="str">
        <f>IFERROR(VLOOKUP(D626, Fornecedores!A:B, 2, FALSE), "")</f>
        <v>MARLEDES JOSE HILARIO</v>
      </c>
    </row>
    <row r="627" spans="1:14" ht="11.85" customHeight="1" x14ac:dyDescent="0.2">
      <c r="A627" s="8">
        <v>46260</v>
      </c>
      <c r="B627" s="8"/>
      <c r="C627" s="7">
        <v>1027</v>
      </c>
      <c r="D627" s="4">
        <v>2285</v>
      </c>
      <c r="E627" s="2">
        <v>217.8</v>
      </c>
      <c r="G627" s="9">
        <v>0</v>
      </c>
      <c r="H627" s="9"/>
      <c r="J627" s="10" t="s">
        <v>7</v>
      </c>
      <c r="K627" s="10"/>
      <c r="L627" s="10"/>
      <c r="M627" s="10"/>
      <c r="N627" t="str">
        <f>IFERROR(VLOOKUP(D627, Fornecedores!A:B, 2, FALSE), "")</f>
        <v>SILVANA DE SOUSA LIMA - ME</v>
      </c>
    </row>
    <row r="628" spans="1:14" ht="11.85" customHeight="1" x14ac:dyDescent="0.2">
      <c r="A628" s="8">
        <v>46260</v>
      </c>
      <c r="B628" s="8"/>
      <c r="C628" s="7">
        <v>1027</v>
      </c>
      <c r="D628" s="4">
        <v>2285</v>
      </c>
      <c r="E628" s="2">
        <v>785.03</v>
      </c>
      <c r="G628" s="9">
        <v>0</v>
      </c>
      <c r="H628" s="9"/>
      <c r="J628" s="10" t="s">
        <v>7</v>
      </c>
      <c r="K628" s="10"/>
      <c r="L628" s="10"/>
      <c r="M628" s="10"/>
      <c r="N628" t="str">
        <f>IFERROR(VLOOKUP(D628, Fornecedores!A:B, 2, FALSE), "")</f>
        <v>SILVANA DE SOUSA LIMA - ME</v>
      </c>
    </row>
    <row r="629" spans="1:14" ht="11.85" customHeight="1" x14ac:dyDescent="0.2">
      <c r="A629" s="8">
        <v>46260</v>
      </c>
      <c r="B629" s="8"/>
      <c r="C629" s="7">
        <v>1027</v>
      </c>
      <c r="D629" s="4">
        <v>2313</v>
      </c>
      <c r="E629" s="2">
        <v>275</v>
      </c>
      <c r="G629" s="9">
        <v>0</v>
      </c>
      <c r="H629" s="9"/>
      <c r="J629" s="10" t="s">
        <v>7</v>
      </c>
      <c r="K629" s="10"/>
      <c r="L629" s="10"/>
      <c r="M629" s="10"/>
      <c r="N629" t="str">
        <f>IFERROR(VLOOKUP(D629, Fornecedores!A:B, 2, FALSE), "")</f>
        <v>BD TINTAS E MATERIAIS P/ CONSTRUCAO LTDA</v>
      </c>
    </row>
    <row r="630" spans="1:14" ht="11.85" customHeight="1" x14ac:dyDescent="0.2">
      <c r="A630" s="8">
        <v>46261</v>
      </c>
      <c r="B630" s="8"/>
      <c r="C630" s="7">
        <v>1021</v>
      </c>
      <c r="D630" s="4">
        <v>5</v>
      </c>
      <c r="E630" s="2">
        <v>10</v>
      </c>
      <c r="G630" s="9">
        <v>1870</v>
      </c>
      <c r="H630" s="9"/>
      <c r="J630" s="10" t="s">
        <v>7</v>
      </c>
      <c r="K630" s="10"/>
      <c r="L630" s="10"/>
      <c r="M630" s="10"/>
      <c r="N630" t="str">
        <f>IFERROR(VLOOKUP(D630, Fornecedores!A:B, 2, FALSE), "")</f>
        <v/>
      </c>
    </row>
    <row r="631" spans="1:14" ht="11.85" customHeight="1" x14ac:dyDescent="0.2">
      <c r="A631" s="8">
        <v>46261</v>
      </c>
      <c r="B631" s="8"/>
      <c r="C631" s="7">
        <v>1021</v>
      </c>
      <c r="D631" s="4">
        <v>5</v>
      </c>
      <c r="E631" s="2">
        <v>24</v>
      </c>
      <c r="G631" s="9">
        <v>1870</v>
      </c>
      <c r="H631" s="9"/>
      <c r="J631" s="10" t="s">
        <v>7</v>
      </c>
      <c r="K631" s="10"/>
      <c r="L631" s="10"/>
      <c r="M631" s="10"/>
      <c r="N631" t="str">
        <f>IFERROR(VLOOKUP(D631, Fornecedores!A:B, 2, FALSE), "")</f>
        <v/>
      </c>
    </row>
    <row r="632" spans="1:14" ht="11.85" customHeight="1" x14ac:dyDescent="0.2">
      <c r="A632" s="8">
        <v>46261</v>
      </c>
      <c r="B632" s="8"/>
      <c r="C632" s="7">
        <v>1021</v>
      </c>
      <c r="D632" s="4">
        <v>5</v>
      </c>
      <c r="E632" s="2">
        <v>1050</v>
      </c>
      <c r="G632" s="9">
        <v>1870</v>
      </c>
      <c r="H632" s="9"/>
      <c r="J632" s="10" t="s">
        <v>7</v>
      </c>
      <c r="K632" s="10"/>
      <c r="L632" s="10"/>
      <c r="M632" s="10"/>
      <c r="N632" t="str">
        <f>IFERROR(VLOOKUP(D632, Fornecedores!A:B, 2, FALSE), "")</f>
        <v/>
      </c>
    </row>
    <row r="633" spans="1:14" ht="11.85" customHeight="1" x14ac:dyDescent="0.2">
      <c r="A633" s="8">
        <v>46261</v>
      </c>
      <c r="B633" s="8"/>
      <c r="C633" s="7">
        <v>1021</v>
      </c>
      <c r="D633" s="4">
        <v>5</v>
      </c>
      <c r="E633" s="2">
        <v>337</v>
      </c>
      <c r="G633" s="9">
        <v>1870</v>
      </c>
      <c r="H633" s="9"/>
      <c r="J633" s="10" t="s">
        <v>7</v>
      </c>
      <c r="K633" s="10"/>
      <c r="L633" s="10"/>
      <c r="M633" s="10"/>
      <c r="N633" t="str">
        <f>IFERROR(VLOOKUP(D633, Fornecedores!A:B, 2, FALSE), "")</f>
        <v/>
      </c>
    </row>
    <row r="634" spans="1:14" ht="11.85" customHeight="1" x14ac:dyDescent="0.2">
      <c r="A634" s="8">
        <v>46261</v>
      </c>
      <c r="B634" s="8"/>
      <c r="C634" s="7">
        <v>2032</v>
      </c>
      <c r="D634" s="4">
        <v>5</v>
      </c>
      <c r="E634" s="2">
        <v>26</v>
      </c>
      <c r="G634" s="9">
        <v>1870</v>
      </c>
      <c r="H634" s="9"/>
      <c r="J634" s="10" t="s">
        <v>7</v>
      </c>
      <c r="K634" s="10"/>
      <c r="L634" s="10"/>
      <c r="M634" s="10"/>
      <c r="N634" t="str">
        <f>IFERROR(VLOOKUP(D634, Fornecedores!A:B, 2, FALSE), "")</f>
        <v/>
      </c>
    </row>
    <row r="635" spans="1:14" ht="11.85" customHeight="1" x14ac:dyDescent="0.2">
      <c r="A635" s="8">
        <v>46261</v>
      </c>
      <c r="B635" s="8"/>
      <c r="C635" s="7">
        <v>882</v>
      </c>
      <c r="D635" s="4">
        <v>5</v>
      </c>
      <c r="E635" s="2">
        <v>7020</v>
      </c>
      <c r="G635" s="9">
        <v>1870</v>
      </c>
      <c r="H635" s="9"/>
      <c r="J635" s="10" t="s">
        <v>7</v>
      </c>
      <c r="K635" s="10"/>
      <c r="L635" s="10"/>
      <c r="M635" s="10"/>
      <c r="N635" t="str">
        <f>IFERROR(VLOOKUP(D635, Fornecedores!A:B, 2, FALSE), "")</f>
        <v/>
      </c>
    </row>
    <row r="636" spans="1:14" ht="11.85" customHeight="1" x14ac:dyDescent="0.2">
      <c r="A636" s="8">
        <v>46261</v>
      </c>
      <c r="B636" s="8"/>
      <c r="C636" s="7">
        <v>2044</v>
      </c>
      <c r="D636" s="4">
        <v>5</v>
      </c>
      <c r="E636" s="2">
        <v>103</v>
      </c>
      <c r="G636" s="9">
        <v>1870</v>
      </c>
      <c r="H636" s="9"/>
      <c r="J636" s="10" t="s">
        <v>7</v>
      </c>
      <c r="K636" s="10"/>
      <c r="L636" s="10"/>
      <c r="M636" s="10"/>
      <c r="N636" t="str">
        <f>IFERROR(VLOOKUP(D636, Fornecedores!A:B, 2, FALSE), "")</f>
        <v/>
      </c>
    </row>
    <row r="637" spans="1:14" ht="11.85" customHeight="1" x14ac:dyDescent="0.2">
      <c r="A637" s="8">
        <v>46261</v>
      </c>
      <c r="B637" s="8"/>
      <c r="C637" s="7">
        <v>1027</v>
      </c>
      <c r="D637" s="4">
        <v>5</v>
      </c>
      <c r="E637" s="2">
        <v>171.62</v>
      </c>
      <c r="G637" s="9">
        <v>1870</v>
      </c>
      <c r="H637" s="9"/>
      <c r="J637" s="10" t="s">
        <v>7</v>
      </c>
      <c r="K637" s="10"/>
      <c r="L637" s="10"/>
      <c r="M637" s="10"/>
      <c r="N637" t="str">
        <f>IFERROR(VLOOKUP(D637, Fornecedores!A:B, 2, FALSE), "")</f>
        <v/>
      </c>
    </row>
    <row r="638" spans="1:14" ht="11.85" customHeight="1" x14ac:dyDescent="0.2">
      <c r="A638" s="8">
        <v>46261</v>
      </c>
      <c r="B638" s="8"/>
      <c r="C638" s="7">
        <v>926</v>
      </c>
      <c r="D638" s="4">
        <v>520</v>
      </c>
      <c r="E638" s="2">
        <v>15900</v>
      </c>
      <c r="G638" s="9">
        <v>1841.95</v>
      </c>
      <c r="H638" s="9"/>
      <c r="J638" s="10" t="s">
        <v>7</v>
      </c>
      <c r="K638" s="10"/>
      <c r="L638" s="10"/>
      <c r="M638" s="10"/>
      <c r="N638" t="str">
        <f>IFERROR(VLOOKUP(D638, Fornecedores!A:B, 2, FALSE), "")</f>
        <v>RENACOR COM. DE TINTAS LTDA (TAQUARALTO)</v>
      </c>
    </row>
    <row r="639" spans="1:14" ht="11.85" customHeight="1" x14ac:dyDescent="0.2">
      <c r="A639" s="8">
        <v>46261</v>
      </c>
      <c r="B639" s="8"/>
      <c r="C639" s="7">
        <v>1027</v>
      </c>
      <c r="D639" s="4">
        <v>526</v>
      </c>
      <c r="E639" s="2">
        <v>35.700000000000003</v>
      </c>
      <c r="G639" s="9">
        <v>1841.95</v>
      </c>
      <c r="H639" s="9"/>
      <c r="J639" s="10" t="s">
        <v>7</v>
      </c>
      <c r="K639" s="10"/>
      <c r="L639" s="10"/>
      <c r="M639" s="10"/>
      <c r="N639" t="str">
        <f>IFERROR(VLOOKUP(D639, Fornecedores!A:B, 2, FALSE), "")</f>
        <v>FERPAM COM. DE FERRAMENTAS PARAFUSOS E MAQUINAS LTDA</v>
      </c>
    </row>
    <row r="640" spans="1:14" ht="11.85" customHeight="1" x14ac:dyDescent="0.2">
      <c r="A640" s="8">
        <v>46261</v>
      </c>
      <c r="B640" s="8"/>
      <c r="C640" s="7">
        <v>1027</v>
      </c>
      <c r="D640" s="4">
        <v>526</v>
      </c>
      <c r="E640" s="2">
        <v>447.8</v>
      </c>
      <c r="G640" s="9">
        <v>1841.95</v>
      </c>
      <c r="H640" s="9"/>
      <c r="J640" s="10" t="s">
        <v>7</v>
      </c>
      <c r="K640" s="10"/>
      <c r="L640" s="10"/>
      <c r="M640" s="10"/>
      <c r="N640" t="str">
        <f>IFERROR(VLOOKUP(D640, Fornecedores!A:B, 2, FALSE), "")</f>
        <v>FERPAM COM. DE FERRAMENTAS PARAFUSOS E MAQUINAS LTDA</v>
      </c>
    </row>
    <row r="641" spans="1:14" ht="11.85" customHeight="1" x14ac:dyDescent="0.2">
      <c r="A641" s="8">
        <v>46261</v>
      </c>
      <c r="B641" s="8"/>
      <c r="C641" s="7">
        <v>919</v>
      </c>
      <c r="D641" s="4">
        <v>1295</v>
      </c>
      <c r="E641" s="2">
        <v>355.5</v>
      </c>
      <c r="G641" s="9">
        <v>1841.95</v>
      </c>
      <c r="H641" s="9"/>
      <c r="J641" s="10" t="s">
        <v>7</v>
      </c>
      <c r="K641" s="10"/>
      <c r="L641" s="10"/>
      <c r="M641" s="10"/>
      <c r="N641" t="str">
        <f>IFERROR(VLOOKUP(D641, Fornecedores!A:B, 2, FALSE), "")</f>
        <v>DIVIPLACAS COMERCIO E SERVICOS DE DIVISORIAS LTDA</v>
      </c>
    </row>
    <row r="642" spans="1:14" ht="11.85" customHeight="1" x14ac:dyDescent="0.2">
      <c r="A642" s="8">
        <v>46261</v>
      </c>
      <c r="B642" s="8"/>
      <c r="C642" s="7">
        <v>1027</v>
      </c>
      <c r="D642" s="4">
        <v>1323</v>
      </c>
      <c r="E642" s="2">
        <v>100</v>
      </c>
      <c r="G642" s="9">
        <v>1841.95</v>
      </c>
      <c r="H642" s="9"/>
      <c r="J642" s="10" t="s">
        <v>7</v>
      </c>
      <c r="K642" s="10"/>
      <c r="L642" s="10"/>
      <c r="M642" s="10"/>
      <c r="N642" t="str">
        <f>IFERROR(VLOOKUP(D642, Fornecedores!A:B, 2, FALSE), "")</f>
        <v>BORGES e BORGES LTDA</v>
      </c>
    </row>
    <row r="643" spans="1:14" ht="11.85" customHeight="1" x14ac:dyDescent="0.2">
      <c r="A643" s="8">
        <v>46261</v>
      </c>
      <c r="B643" s="8"/>
      <c r="C643" s="7">
        <v>1020</v>
      </c>
      <c r="D643" s="4">
        <v>1327</v>
      </c>
      <c r="E643" s="2">
        <v>1152.06</v>
      </c>
      <c r="G643" s="9">
        <v>1841.95</v>
      </c>
      <c r="H643" s="9"/>
      <c r="J643" s="10" t="s">
        <v>7</v>
      </c>
      <c r="K643" s="10"/>
      <c r="L643" s="10"/>
      <c r="M643" s="10"/>
      <c r="N643" t="str">
        <f>IFERROR(VLOOKUP(D643, Fornecedores!A:B, 2, FALSE), "")</f>
        <v>METALURGICA DO NORTE LTDA - EPP</v>
      </c>
    </row>
    <row r="644" spans="1:14" ht="11.85" customHeight="1" x14ac:dyDescent="0.2">
      <c r="A644" s="8">
        <v>46261</v>
      </c>
      <c r="B644" s="8"/>
      <c r="C644" s="7">
        <v>1020</v>
      </c>
      <c r="D644" s="4">
        <v>1327</v>
      </c>
      <c r="E644" s="2">
        <v>645.21</v>
      </c>
      <c r="G644" s="9">
        <v>1841.95</v>
      </c>
      <c r="H644" s="9"/>
      <c r="J644" s="10" t="s">
        <v>7</v>
      </c>
      <c r="K644" s="10"/>
      <c r="L644" s="10"/>
      <c r="M644" s="10"/>
      <c r="N644" t="str">
        <f>IFERROR(VLOOKUP(D644, Fornecedores!A:B, 2, FALSE), "")</f>
        <v>METALURGICA DO NORTE LTDA - EPP</v>
      </c>
    </row>
    <row r="645" spans="1:14" ht="11.85" customHeight="1" x14ac:dyDescent="0.2">
      <c r="A645" s="8">
        <v>46261</v>
      </c>
      <c r="B645" s="8"/>
      <c r="C645" s="7">
        <v>2026</v>
      </c>
      <c r="D645" s="4">
        <v>1573</v>
      </c>
      <c r="E645" s="2">
        <v>630</v>
      </c>
      <c r="G645" s="9">
        <v>1841.95</v>
      </c>
      <c r="H645" s="9"/>
      <c r="J645" s="10" t="s">
        <v>7</v>
      </c>
      <c r="K645" s="10"/>
      <c r="L645" s="10"/>
      <c r="M645" s="10"/>
      <c r="N645" t="str">
        <f>IFERROR(VLOOKUP(D645, Fornecedores!A:B, 2, FALSE), "")</f>
        <v>FERROTEC DISTRIBUIDORA DE FERRO E ACO LTDA.</v>
      </c>
    </row>
    <row r="646" spans="1:14" ht="11.85" customHeight="1" x14ac:dyDescent="0.2">
      <c r="A646" s="8">
        <v>46261</v>
      </c>
      <c r="B646" s="8"/>
      <c r="C646" s="7">
        <v>1021</v>
      </c>
      <c r="D646" s="4">
        <v>1582</v>
      </c>
      <c r="E646" s="2">
        <v>78.12</v>
      </c>
      <c r="G646" s="9">
        <v>1841.95</v>
      </c>
      <c r="H646" s="9"/>
      <c r="J646" s="10" t="s">
        <v>7</v>
      </c>
      <c r="K646" s="10"/>
      <c r="L646" s="10"/>
      <c r="M646" s="10"/>
      <c r="N646" t="str">
        <f>IFERROR(VLOOKUP(D646, Fornecedores!A:B, 2, FALSE), "")</f>
        <v>LUIZ RICARDO PEREIRA MORAIS COMERCIO</v>
      </c>
    </row>
    <row r="647" spans="1:14" ht="11.85" customHeight="1" x14ac:dyDescent="0.2">
      <c r="A647" s="8">
        <v>46261</v>
      </c>
      <c r="B647" s="8"/>
      <c r="C647" s="7">
        <v>1021</v>
      </c>
      <c r="D647" s="4">
        <v>1582</v>
      </c>
      <c r="E647" s="2">
        <v>188.83</v>
      </c>
      <c r="G647" s="9">
        <v>1841.95</v>
      </c>
      <c r="H647" s="9"/>
      <c r="J647" s="10" t="s">
        <v>7</v>
      </c>
      <c r="K647" s="10"/>
      <c r="L647" s="10"/>
      <c r="M647" s="10"/>
      <c r="N647" t="str">
        <f>IFERROR(VLOOKUP(D647, Fornecedores!A:B, 2, FALSE), "")</f>
        <v>LUIZ RICARDO PEREIRA MORAIS COMERCIO</v>
      </c>
    </row>
    <row r="648" spans="1:14" ht="11.85" customHeight="1" x14ac:dyDescent="0.2">
      <c r="A648" s="8">
        <v>46261</v>
      </c>
      <c r="B648" s="8"/>
      <c r="C648" s="7">
        <v>2121</v>
      </c>
      <c r="D648" s="4">
        <v>1610</v>
      </c>
      <c r="E648" s="2">
        <v>3300</v>
      </c>
      <c r="G648" s="9">
        <v>1841.95</v>
      </c>
      <c r="H648" s="9"/>
      <c r="J648" s="10" t="s">
        <v>7</v>
      </c>
      <c r="K648" s="10"/>
      <c r="L648" s="10"/>
      <c r="M648" s="10"/>
      <c r="N648" t="str">
        <f>IFERROR(VLOOKUP(D648, Fornecedores!A:B, 2, FALSE), "")</f>
        <v>SANTA ROSA DISTRIBUIDORA DE CIMENTOS LTDA - ME</v>
      </c>
    </row>
    <row r="649" spans="1:14" ht="11.85" customHeight="1" x14ac:dyDescent="0.2">
      <c r="A649" s="8">
        <v>46261</v>
      </c>
      <c r="B649" s="8"/>
      <c r="C649" s="7">
        <v>2105</v>
      </c>
      <c r="D649" s="4">
        <v>1633</v>
      </c>
      <c r="E649" s="2">
        <v>9698</v>
      </c>
      <c r="G649" s="9">
        <v>1841.95</v>
      </c>
      <c r="H649" s="9"/>
      <c r="J649" s="10" t="s">
        <v>7</v>
      </c>
      <c r="K649" s="10"/>
      <c r="L649" s="10"/>
      <c r="M649" s="10"/>
      <c r="N649" t="str">
        <f>IFERROR(VLOOKUP(D649, Fornecedores!A:B, 2, FALSE), "")</f>
        <v>VOTORANTIM CIMENTOS SA</v>
      </c>
    </row>
    <row r="650" spans="1:14" ht="11.85" customHeight="1" x14ac:dyDescent="0.2">
      <c r="A650" s="8">
        <v>46261</v>
      </c>
      <c r="B650" s="8"/>
      <c r="C650" s="7">
        <v>929</v>
      </c>
      <c r="D650" s="4">
        <v>1839</v>
      </c>
      <c r="E650" s="2">
        <v>71420.83</v>
      </c>
      <c r="G650" s="9">
        <v>1841.95</v>
      </c>
      <c r="H650" s="9"/>
      <c r="J650" s="10" t="s">
        <v>7</v>
      </c>
      <c r="K650" s="10"/>
      <c r="L650" s="10"/>
      <c r="M650" s="10"/>
      <c r="N650" t="str">
        <f>IFERROR(VLOOKUP(D650, Fornecedores!A:B, 2, FALSE), "")</f>
        <v>GMAIS LTDA</v>
      </c>
    </row>
    <row r="651" spans="1:14" ht="11.85" customHeight="1" x14ac:dyDescent="0.2">
      <c r="A651" s="8">
        <v>46262</v>
      </c>
      <c r="B651" s="8"/>
      <c r="C651" s="7">
        <v>1021</v>
      </c>
      <c r="D651" s="4">
        <v>5</v>
      </c>
      <c r="E651" s="2">
        <v>163</v>
      </c>
      <c r="G651" s="9">
        <v>0</v>
      </c>
      <c r="H651" s="9"/>
      <c r="J651" s="10" t="s">
        <v>7</v>
      </c>
      <c r="K651" s="10"/>
      <c r="L651" s="10"/>
      <c r="M651" s="10"/>
      <c r="N651" t="str">
        <f>IFERROR(VLOOKUP(D651, Fornecedores!A:B, 2, FALSE), "")</f>
        <v/>
      </c>
    </row>
    <row r="652" spans="1:14" ht="11.85" customHeight="1" x14ac:dyDescent="0.2">
      <c r="A652" s="8">
        <v>46262</v>
      </c>
      <c r="B652" s="8"/>
      <c r="C652" s="7">
        <v>1021</v>
      </c>
      <c r="D652" s="4">
        <v>5</v>
      </c>
      <c r="E652" s="2">
        <v>37.93</v>
      </c>
      <c r="G652" s="9">
        <v>0</v>
      </c>
      <c r="H652" s="9"/>
      <c r="J652" s="10" t="s">
        <v>7</v>
      </c>
      <c r="K652" s="10"/>
      <c r="L652" s="10"/>
      <c r="M652" s="10"/>
      <c r="N652" t="str">
        <f>IFERROR(VLOOKUP(D652, Fornecedores!A:B, 2, FALSE), "")</f>
        <v/>
      </c>
    </row>
    <row r="653" spans="1:14" ht="11.85" customHeight="1" x14ac:dyDescent="0.2">
      <c r="A653" s="8">
        <v>46262</v>
      </c>
      <c r="B653" s="8"/>
      <c r="C653" s="7">
        <v>1021</v>
      </c>
      <c r="D653" s="4">
        <v>5</v>
      </c>
      <c r="E653" s="2">
        <v>17.57</v>
      </c>
      <c r="G653" s="9">
        <v>0</v>
      </c>
      <c r="H653" s="9"/>
      <c r="J653" s="10" t="s">
        <v>7</v>
      </c>
      <c r="K653" s="10"/>
      <c r="L653" s="10"/>
      <c r="M653" s="10"/>
      <c r="N653" t="str">
        <f>IFERROR(VLOOKUP(D653, Fornecedores!A:B, 2, FALSE), "")</f>
        <v/>
      </c>
    </row>
    <row r="654" spans="1:14" ht="11.85" customHeight="1" x14ac:dyDescent="0.2">
      <c r="A654" s="8">
        <v>46262</v>
      </c>
      <c r="B654" s="8"/>
      <c r="C654" s="7">
        <v>1021</v>
      </c>
      <c r="D654" s="4">
        <v>5</v>
      </c>
      <c r="E654" s="2">
        <v>220</v>
      </c>
      <c r="G654" s="9">
        <v>0</v>
      </c>
      <c r="H654" s="9"/>
      <c r="J654" s="10" t="s">
        <v>7</v>
      </c>
      <c r="K654" s="10"/>
      <c r="L654" s="10"/>
      <c r="M654" s="10"/>
      <c r="N654" t="str">
        <f>IFERROR(VLOOKUP(D654, Fornecedores!A:B, 2, FALSE), "")</f>
        <v/>
      </c>
    </row>
    <row r="655" spans="1:14" ht="11.85" customHeight="1" x14ac:dyDescent="0.2">
      <c r="A655" s="8">
        <v>46262</v>
      </c>
      <c r="B655" s="8"/>
      <c r="C655" s="7">
        <v>1021</v>
      </c>
      <c r="D655" s="4">
        <v>5</v>
      </c>
      <c r="E655" s="2">
        <v>1054</v>
      </c>
      <c r="G655" s="9">
        <v>0</v>
      </c>
      <c r="H655" s="9"/>
      <c r="J655" s="10" t="s">
        <v>7</v>
      </c>
      <c r="K655" s="10"/>
      <c r="L655" s="10"/>
      <c r="M655" s="10"/>
      <c r="N655" t="str">
        <f>IFERROR(VLOOKUP(D655, Fornecedores!A:B, 2, FALSE), "")</f>
        <v/>
      </c>
    </row>
    <row r="656" spans="1:14" ht="11.85" customHeight="1" x14ac:dyDescent="0.2">
      <c r="A656" s="8">
        <v>46262</v>
      </c>
      <c r="B656" s="8"/>
      <c r="C656" s="7">
        <v>1021</v>
      </c>
      <c r="D656" s="4">
        <v>5</v>
      </c>
      <c r="E656" s="2">
        <v>36</v>
      </c>
      <c r="G656" s="9">
        <v>0</v>
      </c>
      <c r="H656" s="9"/>
      <c r="J656" s="10" t="s">
        <v>7</v>
      </c>
      <c r="K656" s="10"/>
      <c r="L656" s="10"/>
      <c r="M656" s="10"/>
      <c r="N656" t="str">
        <f>IFERROR(VLOOKUP(D656, Fornecedores!A:B, 2, FALSE), "")</f>
        <v/>
      </c>
    </row>
    <row r="657" spans="1:14" ht="11.85" customHeight="1" x14ac:dyDescent="0.2">
      <c r="A657" s="8">
        <v>46262</v>
      </c>
      <c r="B657" s="8"/>
      <c r="C657" s="7">
        <v>1021</v>
      </c>
      <c r="D657" s="4">
        <v>5</v>
      </c>
      <c r="E657" s="2">
        <v>4988.49</v>
      </c>
      <c r="G657" s="9">
        <v>0</v>
      </c>
      <c r="H657" s="9"/>
      <c r="J657" s="10" t="s">
        <v>7</v>
      </c>
      <c r="K657" s="10"/>
      <c r="L657" s="10"/>
      <c r="M657" s="10"/>
      <c r="N657" t="str">
        <f>IFERROR(VLOOKUP(D657, Fornecedores!A:B, 2, FALSE), "")</f>
        <v/>
      </c>
    </row>
    <row r="658" spans="1:14" ht="11.85" customHeight="1" x14ac:dyDescent="0.2">
      <c r="A658" s="8">
        <v>46262</v>
      </c>
      <c r="B658" s="8"/>
      <c r="C658" s="7">
        <v>1021</v>
      </c>
      <c r="D658" s="4">
        <v>5</v>
      </c>
      <c r="E658" s="2">
        <v>106.75</v>
      </c>
      <c r="G658" s="9">
        <v>0</v>
      </c>
      <c r="H658" s="9"/>
      <c r="J658" s="10" t="s">
        <v>7</v>
      </c>
      <c r="K658" s="10"/>
      <c r="L658" s="10"/>
      <c r="M658" s="10"/>
      <c r="N658" t="str">
        <f>IFERROR(VLOOKUP(D658, Fornecedores!A:B, 2, FALSE), "")</f>
        <v/>
      </c>
    </row>
    <row r="659" spans="1:14" ht="11.85" customHeight="1" x14ac:dyDescent="0.2">
      <c r="A659" s="8">
        <v>46262</v>
      </c>
      <c r="B659" s="8"/>
      <c r="C659" s="7">
        <v>1021</v>
      </c>
      <c r="D659" s="4">
        <v>5</v>
      </c>
      <c r="E659" s="2">
        <v>72</v>
      </c>
      <c r="G659" s="9">
        <v>0</v>
      </c>
      <c r="H659" s="9"/>
      <c r="J659" s="10" t="s">
        <v>7</v>
      </c>
      <c r="K659" s="10"/>
      <c r="L659" s="10"/>
      <c r="M659" s="10"/>
      <c r="N659" t="str">
        <f>IFERROR(VLOOKUP(D659, Fornecedores!A:B, 2, FALSE), "")</f>
        <v/>
      </c>
    </row>
    <row r="660" spans="1:14" ht="11.85" customHeight="1" x14ac:dyDescent="0.2">
      <c r="A660" s="8">
        <v>46262</v>
      </c>
      <c r="B660" s="8"/>
      <c r="C660" s="7">
        <v>2046</v>
      </c>
      <c r="D660" s="4">
        <v>5</v>
      </c>
      <c r="E660" s="2">
        <v>128.4</v>
      </c>
      <c r="G660" s="9">
        <v>0</v>
      </c>
      <c r="H660" s="9"/>
      <c r="J660" s="10" t="s">
        <v>7</v>
      </c>
      <c r="K660" s="10"/>
      <c r="L660" s="10"/>
      <c r="M660" s="10"/>
      <c r="N660" t="str">
        <f>IFERROR(VLOOKUP(D660, Fornecedores!A:B, 2, FALSE), "")</f>
        <v/>
      </c>
    </row>
    <row r="661" spans="1:14" ht="11.85" customHeight="1" x14ac:dyDescent="0.2">
      <c r="A661" s="8">
        <v>46262</v>
      </c>
      <c r="B661" s="8"/>
      <c r="C661" s="7">
        <v>1021</v>
      </c>
      <c r="D661" s="4">
        <v>5</v>
      </c>
      <c r="E661" s="2">
        <v>1900</v>
      </c>
      <c r="G661" s="9">
        <v>0</v>
      </c>
      <c r="H661" s="9"/>
      <c r="J661" s="10" t="s">
        <v>7</v>
      </c>
      <c r="K661" s="10"/>
      <c r="L661" s="10"/>
      <c r="M661" s="10"/>
      <c r="N661" t="str">
        <f>IFERROR(VLOOKUP(D661, Fornecedores!A:B, 2, FALSE), "")</f>
        <v/>
      </c>
    </row>
    <row r="662" spans="1:14" ht="11.85" customHeight="1" x14ac:dyDescent="0.2">
      <c r="A662" s="8">
        <v>46262</v>
      </c>
      <c r="B662" s="8"/>
      <c r="C662" s="7">
        <v>1024</v>
      </c>
      <c r="D662" s="4">
        <v>520</v>
      </c>
      <c r="E662" s="2">
        <v>1349.4</v>
      </c>
      <c r="G662" s="9">
        <v>0</v>
      </c>
      <c r="H662" s="9"/>
      <c r="J662" s="10" t="s">
        <v>7</v>
      </c>
      <c r="K662" s="10"/>
      <c r="L662" s="10"/>
      <c r="M662" s="10"/>
      <c r="N662" t="str">
        <f>IFERROR(VLOOKUP(D662, Fornecedores!A:B, 2, FALSE), "")</f>
        <v>RENACOR COM. DE TINTAS LTDA (TAQUARALTO)</v>
      </c>
    </row>
    <row r="663" spans="1:14" ht="11.85" customHeight="1" x14ac:dyDescent="0.2">
      <c r="A663" s="8">
        <v>46262</v>
      </c>
      <c r="B663" s="8"/>
      <c r="C663" s="7">
        <v>1025</v>
      </c>
      <c r="D663" s="4">
        <v>526</v>
      </c>
      <c r="E663" s="2">
        <v>1265.83</v>
      </c>
      <c r="G663" s="9">
        <v>0</v>
      </c>
      <c r="H663" s="9"/>
      <c r="J663" s="10" t="s">
        <v>7</v>
      </c>
      <c r="K663" s="10"/>
      <c r="L663" s="10"/>
      <c r="M663" s="10"/>
      <c r="N663" t="str">
        <f>IFERROR(VLOOKUP(D663, Fornecedores!A:B, 2, FALSE), "")</f>
        <v>FERPAM COM. DE FERRAMENTAS PARAFUSOS E MAQUINAS LTDA</v>
      </c>
    </row>
    <row r="664" spans="1:14" ht="11.85" customHeight="1" x14ac:dyDescent="0.2">
      <c r="A664" s="8">
        <v>46262</v>
      </c>
      <c r="B664" s="8"/>
      <c r="C664" s="7">
        <v>2125</v>
      </c>
      <c r="D664" s="4">
        <v>1295</v>
      </c>
      <c r="E664" s="2">
        <v>957</v>
      </c>
      <c r="G664" s="9">
        <v>0</v>
      </c>
      <c r="H664" s="9"/>
      <c r="J664" s="10" t="s">
        <v>7</v>
      </c>
      <c r="K664" s="10"/>
      <c r="L664" s="10"/>
      <c r="M664" s="10"/>
      <c r="N664" t="str">
        <f>IFERROR(VLOOKUP(D664, Fornecedores!A:B, 2, FALSE), "")</f>
        <v>DIVIPLACAS COMERCIO E SERVICOS DE DIVISORIAS LTDA</v>
      </c>
    </row>
    <row r="665" spans="1:14" ht="11.85" customHeight="1" x14ac:dyDescent="0.2">
      <c r="A665" s="8">
        <v>46262</v>
      </c>
      <c r="B665" s="8"/>
      <c r="C665" s="7">
        <v>1027</v>
      </c>
      <c r="D665" s="4">
        <v>1327</v>
      </c>
      <c r="E665" s="2">
        <v>322.61</v>
      </c>
      <c r="G665" s="9">
        <v>0</v>
      </c>
      <c r="H665" s="9"/>
      <c r="J665" s="10" t="s">
        <v>7</v>
      </c>
      <c r="K665" s="10"/>
      <c r="L665" s="10"/>
      <c r="M665" s="10"/>
      <c r="N665" t="str">
        <f>IFERROR(VLOOKUP(D665, Fornecedores!A:B, 2, FALSE), "")</f>
        <v>METALURGICA DO NORTE LTDA - EPP</v>
      </c>
    </row>
    <row r="666" spans="1:14" ht="11.85" customHeight="1" x14ac:dyDescent="0.2">
      <c r="A666" s="8">
        <v>46262</v>
      </c>
      <c r="B666" s="8"/>
      <c r="C666" s="7">
        <v>2112</v>
      </c>
      <c r="D666" s="4">
        <v>1433</v>
      </c>
      <c r="E666" s="2">
        <v>448.5</v>
      </c>
      <c r="G666" s="9">
        <v>0</v>
      </c>
      <c r="H666" s="9"/>
      <c r="J666" s="10" t="s">
        <v>7</v>
      </c>
      <c r="K666" s="10"/>
      <c r="L666" s="10"/>
      <c r="M666" s="10"/>
      <c r="N666" t="str">
        <f>IFERROR(VLOOKUP(D666, Fornecedores!A:B, 2, FALSE), "")</f>
        <v>Construpiso Com. de materiais p/ constr. LTDA-EPP</v>
      </c>
    </row>
    <row r="667" spans="1:14" ht="11.85" customHeight="1" x14ac:dyDescent="0.2">
      <c r="A667" s="8">
        <v>46262</v>
      </c>
      <c r="B667" s="8"/>
      <c r="C667" s="7">
        <v>1020</v>
      </c>
      <c r="D667" s="4">
        <v>1573</v>
      </c>
      <c r="E667" s="2">
        <v>2430</v>
      </c>
      <c r="G667" s="9">
        <v>0</v>
      </c>
      <c r="H667" s="9"/>
      <c r="J667" s="10" t="s">
        <v>7</v>
      </c>
      <c r="K667" s="10"/>
      <c r="L667" s="10"/>
      <c r="M667" s="10"/>
      <c r="N667" t="str">
        <f>IFERROR(VLOOKUP(D667, Fornecedores!A:B, 2, FALSE), "")</f>
        <v>FERROTEC DISTRIBUIDORA DE FERRO E ACO LTDA.</v>
      </c>
    </row>
    <row r="668" spans="1:14" ht="11.85" customHeight="1" x14ac:dyDescent="0.2">
      <c r="A668" s="8">
        <v>46262</v>
      </c>
      <c r="B668" s="8"/>
      <c r="C668" s="7">
        <v>1027</v>
      </c>
      <c r="D668" s="4">
        <v>1617</v>
      </c>
      <c r="E668" s="2">
        <v>978.8</v>
      </c>
      <c r="G668" s="9">
        <v>0</v>
      </c>
      <c r="H668" s="9"/>
      <c r="J668" s="10" t="s">
        <v>7</v>
      </c>
      <c r="K668" s="10"/>
      <c r="L668" s="10"/>
      <c r="M668" s="10"/>
      <c r="N668" t="str">
        <f>IFERROR(VLOOKUP(D668, Fornecedores!A:B, 2, FALSE), "")</f>
        <v>FABIANO COM ATAC DE FERRAMENTAS E MAT DE CONS LTDA</v>
      </c>
    </row>
    <row r="669" spans="1:14" ht="11.85" customHeight="1" x14ac:dyDescent="0.2">
      <c r="A669" s="8">
        <v>46262</v>
      </c>
      <c r="B669" s="8"/>
      <c r="C669" s="7">
        <v>983</v>
      </c>
      <c r="D669" s="4">
        <v>1712</v>
      </c>
      <c r="E669" s="2">
        <v>7046.1</v>
      </c>
      <c r="G669" s="9">
        <v>0</v>
      </c>
      <c r="H669" s="9"/>
      <c r="J669" s="10" t="s">
        <v>7</v>
      </c>
      <c r="K669" s="10"/>
      <c r="L669" s="10"/>
      <c r="M669" s="10"/>
      <c r="N669" t="str">
        <f>IFERROR(VLOOKUP(D669, Fornecedores!A:B, 2, FALSE), "")</f>
        <v>ATIVA MATERIAIS ELETRICOS LTDA</v>
      </c>
    </row>
    <row r="670" spans="1:14" ht="11.85" customHeight="1" x14ac:dyDescent="0.2">
      <c r="A670" s="8">
        <v>46262</v>
      </c>
      <c r="B670" s="8"/>
      <c r="C670" s="7">
        <v>272</v>
      </c>
      <c r="D670" s="4">
        <v>1743</v>
      </c>
      <c r="E670" s="2">
        <v>974.78</v>
      </c>
      <c r="G670" s="9">
        <v>0</v>
      </c>
      <c r="H670" s="9"/>
      <c r="J670" s="10" t="s">
        <v>7</v>
      </c>
      <c r="K670" s="10"/>
      <c r="L670" s="10"/>
      <c r="M670" s="10"/>
      <c r="N670" t="str">
        <f>IFERROR(VLOOKUP(D670, Fornecedores!A:B, 2, FALSE), "")</f>
        <v>BARBOSA E ANJOS LTDA</v>
      </c>
    </row>
    <row r="671" spans="1:14" ht="11.85" customHeight="1" x14ac:dyDescent="0.2">
      <c r="A671" s="8">
        <v>46263</v>
      </c>
      <c r="B671" s="8"/>
      <c r="C671" s="4">
        <v>5</v>
      </c>
      <c r="D671" s="4">
        <v>467</v>
      </c>
      <c r="E671" s="2">
        <v>17.649999999999999</v>
      </c>
      <c r="G671" s="9">
        <v>0</v>
      </c>
      <c r="H671" s="9"/>
      <c r="J671" s="10" t="s">
        <v>6</v>
      </c>
      <c r="K671" s="10"/>
      <c r="L671" s="10"/>
      <c r="M671" s="10"/>
      <c r="N671" t="str">
        <f>IFERROR(VLOOKUP(D671, Fornecedores!A:B, 2, FALSE), "")</f>
        <v/>
      </c>
    </row>
    <row r="672" spans="1:14" ht="11.85" customHeight="1" x14ac:dyDescent="0.2">
      <c r="A672" s="8">
        <v>46263</v>
      </c>
      <c r="B672" s="8"/>
      <c r="C672" s="7">
        <v>1021</v>
      </c>
      <c r="D672" s="4">
        <v>5</v>
      </c>
      <c r="E672" s="2">
        <v>36.92</v>
      </c>
      <c r="G672" s="9">
        <v>0</v>
      </c>
      <c r="H672" s="9"/>
      <c r="J672" s="10" t="s">
        <v>7</v>
      </c>
      <c r="K672" s="10"/>
      <c r="L672" s="10"/>
      <c r="M672" s="10"/>
      <c r="N672" t="str">
        <f>IFERROR(VLOOKUP(D672, Fornecedores!A:B, 2, FALSE), "")</f>
        <v/>
      </c>
    </row>
    <row r="673" spans="1:14" ht="11.85" customHeight="1" x14ac:dyDescent="0.2">
      <c r="A673" s="8">
        <v>46263</v>
      </c>
      <c r="B673" s="8"/>
      <c r="C673" s="7">
        <v>1021</v>
      </c>
      <c r="D673" s="4">
        <v>5</v>
      </c>
      <c r="E673" s="2">
        <v>44.08</v>
      </c>
      <c r="G673" s="9">
        <v>0</v>
      </c>
      <c r="H673" s="9"/>
      <c r="J673" s="10" t="s">
        <v>7</v>
      </c>
      <c r="K673" s="10"/>
      <c r="L673" s="10"/>
      <c r="M673" s="10"/>
      <c r="N673" t="str">
        <f>IFERROR(VLOOKUP(D673, Fornecedores!A:B, 2, FALSE), "")</f>
        <v/>
      </c>
    </row>
    <row r="674" spans="1:14" ht="11.85" customHeight="1" x14ac:dyDescent="0.2">
      <c r="A674" s="8">
        <v>46263</v>
      </c>
      <c r="B674" s="8"/>
      <c r="C674" s="7">
        <v>1021</v>
      </c>
      <c r="D674" s="4">
        <v>5</v>
      </c>
      <c r="E674" s="2">
        <v>108</v>
      </c>
      <c r="G674" s="9">
        <v>0</v>
      </c>
      <c r="H674" s="9"/>
      <c r="J674" s="10" t="s">
        <v>7</v>
      </c>
      <c r="K674" s="10"/>
      <c r="L674" s="10"/>
      <c r="M674" s="10"/>
      <c r="N674" t="str">
        <f>IFERROR(VLOOKUP(D674, Fornecedores!A:B, 2, FALSE), "")</f>
        <v/>
      </c>
    </row>
    <row r="675" spans="1:14" ht="11.85" customHeight="1" x14ac:dyDescent="0.2">
      <c r="A675" s="8">
        <v>46263</v>
      </c>
      <c r="B675" s="8"/>
      <c r="C675" s="7">
        <v>1021</v>
      </c>
      <c r="D675" s="4">
        <v>5</v>
      </c>
      <c r="E675" s="2">
        <v>22</v>
      </c>
      <c r="G675" s="9">
        <v>0</v>
      </c>
      <c r="H675" s="9"/>
      <c r="J675" s="10" t="s">
        <v>7</v>
      </c>
      <c r="K675" s="10"/>
      <c r="L675" s="10"/>
      <c r="M675" s="10"/>
      <c r="N675" t="str">
        <f>IFERROR(VLOOKUP(D675, Fornecedores!A:B, 2, FALSE), "")</f>
        <v/>
      </c>
    </row>
    <row r="676" spans="1:14" ht="11.85" customHeight="1" x14ac:dyDescent="0.2">
      <c r="A676" s="8">
        <v>46263</v>
      </c>
      <c r="B676" s="8"/>
      <c r="C676" s="7">
        <v>1021</v>
      </c>
      <c r="D676" s="4">
        <v>5</v>
      </c>
      <c r="E676" s="2">
        <v>1051</v>
      </c>
      <c r="G676" s="9">
        <v>0</v>
      </c>
      <c r="H676" s="9"/>
      <c r="J676" s="10" t="s">
        <v>7</v>
      </c>
      <c r="K676" s="10"/>
      <c r="L676" s="10"/>
      <c r="M676" s="10"/>
      <c r="N676" t="str">
        <f>IFERROR(VLOOKUP(D676, Fornecedores!A:B, 2, FALSE), "")</f>
        <v/>
      </c>
    </row>
    <row r="677" spans="1:14" ht="11.85" customHeight="1" x14ac:dyDescent="0.2">
      <c r="A677" s="8">
        <v>46263</v>
      </c>
      <c r="B677" s="8"/>
      <c r="C677" s="7">
        <v>1021</v>
      </c>
      <c r="D677" s="4">
        <v>5</v>
      </c>
      <c r="E677" s="2">
        <v>117</v>
      </c>
      <c r="G677" s="9">
        <v>0</v>
      </c>
      <c r="H677" s="9"/>
      <c r="J677" s="10" t="s">
        <v>7</v>
      </c>
      <c r="K677" s="10"/>
      <c r="L677" s="10"/>
      <c r="M677" s="10"/>
      <c r="N677" t="str">
        <f>IFERROR(VLOOKUP(D677, Fornecedores!A:B, 2, FALSE), "")</f>
        <v/>
      </c>
    </row>
    <row r="678" spans="1:14" ht="11.85" customHeight="1" x14ac:dyDescent="0.2">
      <c r="A678" s="8">
        <v>46263</v>
      </c>
      <c r="B678" s="8"/>
      <c r="C678" s="7">
        <v>1760</v>
      </c>
      <c r="D678" s="4">
        <v>519</v>
      </c>
      <c r="E678" s="2">
        <v>980.16</v>
      </c>
      <c r="G678" s="9">
        <v>0</v>
      </c>
      <c r="H678" s="9"/>
      <c r="J678" s="10" t="s">
        <v>7</v>
      </c>
      <c r="K678" s="10"/>
      <c r="L678" s="10"/>
      <c r="M678" s="10"/>
      <c r="N678" t="str">
        <f>IFERROR(VLOOKUP(D678, Fornecedores!A:B, 2, FALSE), "")</f>
        <v>ENCANEL COM. DE MAT. DE CONST. LTDA</v>
      </c>
    </row>
    <row r="679" spans="1:14" ht="11.85" customHeight="1" x14ac:dyDescent="0.2">
      <c r="A679" s="8">
        <v>46263</v>
      </c>
      <c r="B679" s="8"/>
      <c r="C679" s="7">
        <v>1024</v>
      </c>
      <c r="D679" s="4">
        <v>613</v>
      </c>
      <c r="E679" s="2">
        <v>150</v>
      </c>
      <c r="G679" s="9">
        <v>0</v>
      </c>
      <c r="H679" s="9"/>
      <c r="J679" s="10" t="s">
        <v>7</v>
      </c>
      <c r="K679" s="10"/>
      <c r="L679" s="10"/>
      <c r="M679" s="10"/>
      <c r="N679" t="str">
        <f>IFERROR(VLOOKUP(D679, Fornecedores!A:B, 2, FALSE), "")</f>
        <v>IRMAOS MEURER LTDA</v>
      </c>
    </row>
    <row r="680" spans="1:14" ht="11.85" customHeight="1" x14ac:dyDescent="0.2">
      <c r="A680" s="8">
        <v>46263</v>
      </c>
      <c r="B680" s="8"/>
      <c r="C680" s="7">
        <v>1024</v>
      </c>
      <c r="D680" s="4">
        <v>613</v>
      </c>
      <c r="E680" s="2">
        <v>29.9</v>
      </c>
      <c r="G680" s="9">
        <v>0</v>
      </c>
      <c r="H680" s="9"/>
      <c r="J680" s="10" t="s">
        <v>7</v>
      </c>
      <c r="K680" s="10"/>
      <c r="L680" s="10"/>
      <c r="M680" s="10"/>
      <c r="N680" t="str">
        <f>IFERROR(VLOOKUP(D680, Fornecedores!A:B, 2, FALSE), "")</f>
        <v>IRMAOS MEURER LTDA</v>
      </c>
    </row>
    <row r="681" spans="1:14" ht="11.85" customHeight="1" x14ac:dyDescent="0.2">
      <c r="A681" s="8">
        <v>46263</v>
      </c>
      <c r="B681" s="8"/>
      <c r="C681" s="7">
        <v>1024</v>
      </c>
      <c r="D681" s="4">
        <v>613</v>
      </c>
      <c r="E681" s="2">
        <v>350</v>
      </c>
      <c r="G681" s="9">
        <v>0</v>
      </c>
      <c r="H681" s="9"/>
      <c r="J681" s="10" t="s">
        <v>7</v>
      </c>
      <c r="K681" s="10"/>
      <c r="L681" s="10"/>
      <c r="M681" s="10"/>
      <c r="N681" t="str">
        <f>IFERROR(VLOOKUP(D681, Fornecedores!A:B, 2, FALSE), "")</f>
        <v>IRMAOS MEURER LTDA</v>
      </c>
    </row>
    <row r="682" spans="1:14" ht="11.85" customHeight="1" x14ac:dyDescent="0.2">
      <c r="A682" s="8">
        <v>46263</v>
      </c>
      <c r="B682" s="8"/>
      <c r="C682" s="7">
        <v>1021</v>
      </c>
      <c r="D682" s="4">
        <v>1598</v>
      </c>
      <c r="E682" s="2">
        <v>6668.25</v>
      </c>
      <c r="G682" s="9">
        <v>0</v>
      </c>
      <c r="H682" s="9"/>
      <c r="J682" s="10" t="s">
        <v>7</v>
      </c>
      <c r="K682" s="10"/>
      <c r="L682" s="10"/>
      <c r="M682" s="10"/>
      <c r="N682" t="str">
        <f>IFERROR(VLOOKUP(D682, Fornecedores!A:B, 2, FALSE), "")</f>
        <v>MEGA ELETRICA DISTRIBUIDORA LTDA - EPP</v>
      </c>
    </row>
    <row r="683" spans="1:14" ht="11.85" customHeight="1" x14ac:dyDescent="0.2">
      <c r="A683" s="8">
        <v>46265</v>
      </c>
      <c r="B683" s="8"/>
      <c r="C683" s="4">
        <v>5</v>
      </c>
      <c r="D683" s="4">
        <v>467</v>
      </c>
      <c r="E683" s="2">
        <v>3187.17</v>
      </c>
      <c r="G683" s="9">
        <v>0</v>
      </c>
      <c r="H683" s="9"/>
      <c r="J683" s="10" t="s">
        <v>6</v>
      </c>
      <c r="K683" s="10"/>
      <c r="L683" s="10"/>
      <c r="M683" s="10"/>
      <c r="N683" t="str">
        <f>IFERROR(VLOOKUP(D683, Fornecedores!A:B, 2, FALSE), "")</f>
        <v/>
      </c>
    </row>
    <row r="684" spans="1:14" ht="11.85" customHeight="1" x14ac:dyDescent="0.2">
      <c r="A684" s="8">
        <v>46265</v>
      </c>
      <c r="B684" s="8"/>
      <c r="C684" s="7">
        <v>1021</v>
      </c>
      <c r="D684" s="4">
        <v>5</v>
      </c>
      <c r="E684" s="2">
        <v>145</v>
      </c>
      <c r="G684" s="9">
        <v>0</v>
      </c>
      <c r="H684" s="9"/>
      <c r="J684" s="10" t="s">
        <v>7</v>
      </c>
      <c r="K684" s="10"/>
      <c r="L684" s="10"/>
      <c r="M684" s="10"/>
      <c r="N684" t="str">
        <f>IFERROR(VLOOKUP(D684, Fornecedores!A:B, 2, FALSE), "")</f>
        <v/>
      </c>
    </row>
    <row r="685" spans="1:14" ht="11.85" customHeight="1" x14ac:dyDescent="0.2">
      <c r="A685" s="8">
        <v>46265</v>
      </c>
      <c r="B685" s="8"/>
      <c r="C685" s="7">
        <v>1021</v>
      </c>
      <c r="D685" s="4">
        <v>5</v>
      </c>
      <c r="E685" s="2">
        <v>310</v>
      </c>
      <c r="G685" s="9">
        <v>0</v>
      </c>
      <c r="H685" s="9"/>
      <c r="J685" s="10" t="s">
        <v>7</v>
      </c>
      <c r="K685" s="10"/>
      <c r="L685" s="10"/>
      <c r="M685" s="10"/>
      <c r="N685" t="str">
        <f>IFERROR(VLOOKUP(D685, Fornecedores!A:B, 2, FALSE), "")</f>
        <v/>
      </c>
    </row>
    <row r="686" spans="1:14" ht="11.85" customHeight="1" x14ac:dyDescent="0.2">
      <c r="A686" s="8">
        <v>46265</v>
      </c>
      <c r="B686" s="8"/>
      <c r="C686" s="7">
        <v>1021</v>
      </c>
      <c r="D686" s="4">
        <v>5</v>
      </c>
      <c r="E686" s="2">
        <v>27.5</v>
      </c>
      <c r="G686" s="9">
        <v>0</v>
      </c>
      <c r="H686" s="9"/>
      <c r="J686" s="10" t="s">
        <v>7</v>
      </c>
      <c r="K686" s="10"/>
      <c r="L686" s="10"/>
      <c r="M686" s="10"/>
      <c r="N686" t="str">
        <f>IFERROR(VLOOKUP(D686, Fornecedores!A:B, 2, FALSE), "")</f>
        <v/>
      </c>
    </row>
    <row r="687" spans="1:14" ht="11.85" customHeight="1" x14ac:dyDescent="0.2">
      <c r="A687" s="8">
        <v>46265</v>
      </c>
      <c r="B687" s="8"/>
      <c r="C687" s="7">
        <v>1021</v>
      </c>
      <c r="D687" s="4">
        <v>5</v>
      </c>
      <c r="E687" s="2">
        <v>1110.97</v>
      </c>
      <c r="G687" s="9">
        <v>0</v>
      </c>
      <c r="H687" s="9"/>
      <c r="J687" s="10" t="s">
        <v>7</v>
      </c>
      <c r="K687" s="10"/>
      <c r="L687" s="10"/>
      <c r="M687" s="10"/>
      <c r="N687" t="str">
        <f>IFERROR(VLOOKUP(D687, Fornecedores!A:B, 2, FALSE), "")</f>
        <v/>
      </c>
    </row>
    <row r="688" spans="1:14" ht="11.85" customHeight="1" x14ac:dyDescent="0.2">
      <c r="A688" s="8">
        <v>46265</v>
      </c>
      <c r="B688" s="8"/>
      <c r="C688" s="7">
        <v>1021</v>
      </c>
      <c r="D688" s="4">
        <v>5</v>
      </c>
      <c r="E688" s="2">
        <v>162</v>
      </c>
      <c r="G688" s="9">
        <v>0</v>
      </c>
      <c r="H688" s="9"/>
      <c r="J688" s="10" t="s">
        <v>7</v>
      </c>
      <c r="K688" s="10"/>
      <c r="L688" s="10"/>
      <c r="M688" s="10"/>
      <c r="N688" t="str">
        <f>IFERROR(VLOOKUP(D688, Fornecedores!A:B, 2, FALSE), "")</f>
        <v/>
      </c>
    </row>
    <row r="689" spans="1:14" ht="11.85" customHeight="1" x14ac:dyDescent="0.2">
      <c r="A689" s="8">
        <v>46265</v>
      </c>
      <c r="B689" s="8"/>
      <c r="C689" s="7">
        <v>1027</v>
      </c>
      <c r="D689" s="4">
        <v>5</v>
      </c>
      <c r="E689" s="2">
        <v>600</v>
      </c>
      <c r="G689" s="9">
        <v>0</v>
      </c>
      <c r="H689" s="9"/>
      <c r="J689" s="10" t="s">
        <v>7</v>
      </c>
      <c r="K689" s="10"/>
      <c r="L689" s="10"/>
      <c r="M689" s="10"/>
      <c r="N689" t="str">
        <f>IFERROR(VLOOKUP(D689, Fornecedores!A:B, 2, FALSE), "")</f>
        <v/>
      </c>
    </row>
    <row r="690" spans="1:14" ht="11.85" customHeight="1" x14ac:dyDescent="0.2">
      <c r="A690" s="8">
        <v>46265</v>
      </c>
      <c r="B690" s="8"/>
      <c r="C690" s="7">
        <v>1647</v>
      </c>
      <c r="D690" s="4">
        <v>519</v>
      </c>
      <c r="E690" s="2">
        <v>172.2</v>
      </c>
      <c r="G690" s="9">
        <v>0</v>
      </c>
      <c r="H690" s="9"/>
      <c r="J690" s="10" t="s">
        <v>7</v>
      </c>
      <c r="K690" s="10"/>
      <c r="L690" s="10"/>
      <c r="M690" s="10"/>
      <c r="N690" t="str">
        <f>IFERROR(VLOOKUP(D690, Fornecedores!A:B, 2, FALSE), "")</f>
        <v>ENCANEL COM. DE MAT. DE CONST. LTDA</v>
      </c>
    </row>
    <row r="691" spans="1:14" ht="11.85" customHeight="1" x14ac:dyDescent="0.2">
      <c r="A691" s="8">
        <v>46265</v>
      </c>
      <c r="B691" s="8"/>
      <c r="C691" s="7">
        <v>1025</v>
      </c>
      <c r="D691" s="4">
        <v>520</v>
      </c>
      <c r="E691" s="2">
        <v>659.75</v>
      </c>
      <c r="G691" s="9">
        <v>0</v>
      </c>
      <c r="H691" s="9"/>
      <c r="J691" s="10" t="s">
        <v>7</v>
      </c>
      <c r="K691" s="10"/>
      <c r="L691" s="10"/>
      <c r="M691" s="10"/>
      <c r="N691" t="str">
        <f>IFERROR(VLOOKUP(D691, Fornecedores!A:B, 2, FALSE), "")</f>
        <v>RENACOR COM. DE TINTAS LTDA (TAQUARALTO)</v>
      </c>
    </row>
    <row r="692" spans="1:14" ht="11.85" customHeight="1" x14ac:dyDescent="0.2">
      <c r="A692" s="8">
        <v>46265</v>
      </c>
      <c r="B692" s="8"/>
      <c r="C692" s="7">
        <v>1027</v>
      </c>
      <c r="D692" s="4">
        <v>526</v>
      </c>
      <c r="E692" s="2">
        <v>80</v>
      </c>
      <c r="G692" s="9">
        <v>0</v>
      </c>
      <c r="H692" s="9"/>
      <c r="J692" s="10" t="s">
        <v>7</v>
      </c>
      <c r="K692" s="10"/>
      <c r="L692" s="10"/>
      <c r="M692" s="10"/>
      <c r="N692" t="str">
        <f>IFERROR(VLOOKUP(D692, Fornecedores!A:B, 2, FALSE), "")</f>
        <v>FERPAM COM. DE FERRAMENTAS PARAFUSOS E MAQUINAS LTDA</v>
      </c>
    </row>
    <row r="693" spans="1:14" ht="11.85" customHeight="1" x14ac:dyDescent="0.2">
      <c r="A693" s="8">
        <v>46265</v>
      </c>
      <c r="B693" s="8"/>
      <c r="C693" s="7">
        <v>887</v>
      </c>
      <c r="D693" s="4">
        <v>526</v>
      </c>
      <c r="E693" s="2">
        <v>185.49</v>
      </c>
      <c r="G693" s="9">
        <v>0</v>
      </c>
      <c r="H693" s="9"/>
      <c r="J693" s="10" t="s">
        <v>7</v>
      </c>
      <c r="K693" s="10"/>
      <c r="L693" s="10"/>
      <c r="M693" s="10"/>
      <c r="N693" t="str">
        <f>IFERROR(VLOOKUP(D693, Fornecedores!A:B, 2, FALSE), "")</f>
        <v>FERPAM COM. DE FERRAMENTAS PARAFUSOS E MAQUINAS LTDA</v>
      </c>
    </row>
    <row r="694" spans="1:14" ht="11.85" customHeight="1" x14ac:dyDescent="0.2">
      <c r="A694" s="8">
        <v>46265</v>
      </c>
      <c r="B694" s="8"/>
      <c r="C694" s="7">
        <v>1025</v>
      </c>
      <c r="D694" s="4">
        <v>526</v>
      </c>
      <c r="E694" s="2">
        <v>277.79000000000002</v>
      </c>
      <c r="G694" s="9">
        <v>0</v>
      </c>
      <c r="H694" s="9"/>
      <c r="J694" s="10" t="s">
        <v>7</v>
      </c>
      <c r="K694" s="10"/>
      <c r="L694" s="10"/>
      <c r="M694" s="10"/>
      <c r="N694" t="str">
        <f>IFERROR(VLOOKUP(D694, Fornecedores!A:B, 2, FALSE), "")</f>
        <v>FERPAM COM. DE FERRAMENTAS PARAFUSOS E MAQUINAS LTDA</v>
      </c>
    </row>
    <row r="695" spans="1:14" ht="11.85" customHeight="1" x14ac:dyDescent="0.2">
      <c r="A695" s="8">
        <v>46265</v>
      </c>
      <c r="B695" s="8"/>
      <c r="C695" s="7">
        <v>982</v>
      </c>
      <c r="D695" s="4">
        <v>655</v>
      </c>
      <c r="E695" s="2">
        <v>318.36</v>
      </c>
      <c r="G695" s="9">
        <v>0</v>
      </c>
      <c r="H695" s="9"/>
      <c r="J695" s="10" t="s">
        <v>7</v>
      </c>
      <c r="K695" s="10"/>
      <c r="L695" s="10"/>
      <c r="M695" s="10"/>
      <c r="N695" t="str">
        <f>IFERROR(VLOOKUP(D695, Fornecedores!A:B, 2, FALSE), "")</f>
        <v>DIST. DE FERROS E ACO B-R LTDA</v>
      </c>
    </row>
    <row r="696" spans="1:14" ht="11.85" customHeight="1" x14ac:dyDescent="0.2">
      <c r="A696" s="8">
        <v>46265</v>
      </c>
      <c r="B696" s="8"/>
      <c r="C696" s="7">
        <v>982</v>
      </c>
      <c r="D696" s="4">
        <v>655</v>
      </c>
      <c r="E696" s="2">
        <v>309.25</v>
      </c>
      <c r="G696" s="9">
        <v>0</v>
      </c>
      <c r="H696" s="9"/>
      <c r="J696" s="10" t="s">
        <v>7</v>
      </c>
      <c r="K696" s="10"/>
      <c r="L696" s="10"/>
      <c r="M696" s="10"/>
      <c r="N696" t="str">
        <f>IFERROR(VLOOKUP(D696, Fornecedores!A:B, 2, FALSE), "")</f>
        <v>DIST. DE FERROS E ACO B-R LTDA</v>
      </c>
    </row>
    <row r="697" spans="1:14" ht="11.85" customHeight="1" x14ac:dyDescent="0.2">
      <c r="A697" s="8">
        <v>46265</v>
      </c>
      <c r="B697" s="8"/>
      <c r="C697" s="7">
        <v>1020</v>
      </c>
      <c r="D697" s="4">
        <v>1327</v>
      </c>
      <c r="E697" s="2">
        <v>1033.1099999999999</v>
      </c>
      <c r="G697" s="9">
        <v>0</v>
      </c>
      <c r="H697" s="9"/>
      <c r="J697" s="10" t="s">
        <v>7</v>
      </c>
      <c r="K697" s="10"/>
      <c r="L697" s="10"/>
      <c r="M697" s="10"/>
      <c r="N697" t="str">
        <f>IFERROR(VLOOKUP(D697, Fornecedores!A:B, 2, FALSE), "")</f>
        <v>METALURGICA DO NORTE LTDA - EPP</v>
      </c>
    </row>
    <row r="698" spans="1:14" ht="11.85" customHeight="1" x14ac:dyDescent="0.2">
      <c r="A698" s="8">
        <v>46265</v>
      </c>
      <c r="B698" s="8"/>
      <c r="C698" s="7">
        <v>1020</v>
      </c>
      <c r="D698" s="4">
        <v>1327</v>
      </c>
      <c r="E698" s="2">
        <v>535.11</v>
      </c>
      <c r="G698" s="9">
        <v>0</v>
      </c>
      <c r="H698" s="9"/>
      <c r="J698" s="10" t="s">
        <v>7</v>
      </c>
      <c r="K698" s="10"/>
      <c r="L698" s="10"/>
      <c r="M698" s="10"/>
      <c r="N698" t="str">
        <f>IFERROR(VLOOKUP(D698, Fornecedores!A:B, 2, FALSE), "")</f>
        <v>METALURGICA DO NORTE LTDA - EPP</v>
      </c>
    </row>
    <row r="699" spans="1:14" ht="11.85" customHeight="1" x14ac:dyDescent="0.2">
      <c r="A699" s="8">
        <v>46265</v>
      </c>
      <c r="B699" s="8"/>
      <c r="C699" s="7">
        <v>1020</v>
      </c>
      <c r="D699" s="4">
        <v>1327</v>
      </c>
      <c r="E699" s="2">
        <v>394.44</v>
      </c>
      <c r="G699" s="9">
        <v>0</v>
      </c>
      <c r="H699" s="9"/>
      <c r="J699" s="10" t="s">
        <v>7</v>
      </c>
      <c r="K699" s="10"/>
      <c r="L699" s="10"/>
      <c r="M699" s="10"/>
      <c r="N699" t="str">
        <f>IFERROR(VLOOKUP(D699, Fornecedores!A:B, 2, FALSE), "")</f>
        <v>METALURGICA DO NORTE LTDA - EPP</v>
      </c>
    </row>
    <row r="700" spans="1:14" ht="11.85" customHeight="1" x14ac:dyDescent="0.2">
      <c r="A700" s="8">
        <v>46265</v>
      </c>
      <c r="B700" s="8"/>
      <c r="C700" s="7">
        <v>1027</v>
      </c>
      <c r="D700" s="4">
        <v>1400</v>
      </c>
      <c r="E700" s="2">
        <v>4452</v>
      </c>
      <c r="G700" s="9">
        <v>0</v>
      </c>
      <c r="H700" s="9"/>
      <c r="J700" s="10" t="s">
        <v>7</v>
      </c>
      <c r="K700" s="10"/>
      <c r="L700" s="10"/>
      <c r="M700" s="10"/>
      <c r="N700" t="str">
        <f>IFERROR(VLOOKUP(D700, Fornecedores!A:B, 2, FALSE), "")</f>
        <v>REFRIGERACAO DUFRIO COMERCIO E IMPORTACAO S.A.</v>
      </c>
    </row>
    <row r="701" spans="1:14" ht="11.85" customHeight="1" x14ac:dyDescent="0.2">
      <c r="A701" s="8">
        <v>46265</v>
      </c>
      <c r="B701" s="8"/>
      <c r="C701" s="7">
        <v>989</v>
      </c>
      <c r="D701" s="4">
        <v>1582</v>
      </c>
      <c r="E701" s="2">
        <v>196.63</v>
      </c>
      <c r="G701" s="9">
        <v>0</v>
      </c>
      <c r="H701" s="9"/>
      <c r="J701" s="10" t="s">
        <v>7</v>
      </c>
      <c r="K701" s="10"/>
      <c r="L701" s="10"/>
      <c r="M701" s="10"/>
      <c r="N701" t="str">
        <f>IFERROR(VLOOKUP(D701, Fornecedores!A:B, 2, FALSE), "")</f>
        <v>LUIZ RICARDO PEREIRA MORAIS COMERCIO</v>
      </c>
    </row>
    <row r="702" spans="1:14" ht="11.85" customHeight="1" x14ac:dyDescent="0.2">
      <c r="A702" s="8">
        <v>46265</v>
      </c>
      <c r="B702" s="8"/>
      <c r="C702" s="7">
        <v>983</v>
      </c>
      <c r="D702" s="4">
        <v>1582</v>
      </c>
      <c r="E702" s="2">
        <v>103.62</v>
      </c>
      <c r="G702" s="9">
        <v>0</v>
      </c>
      <c r="H702" s="9"/>
      <c r="J702" s="10" t="s">
        <v>7</v>
      </c>
      <c r="K702" s="10"/>
      <c r="L702" s="10"/>
      <c r="M702" s="10"/>
      <c r="N702" t="str">
        <f>IFERROR(VLOOKUP(D702, Fornecedores!A:B, 2, FALSE), "")</f>
        <v>LUIZ RICARDO PEREIRA MORAIS COMERCIO</v>
      </c>
    </row>
    <row r="703" spans="1:14" ht="11.85" customHeight="1" x14ac:dyDescent="0.2">
      <c r="A703" s="8">
        <v>46265</v>
      </c>
      <c r="B703" s="8"/>
      <c r="C703" s="7">
        <v>983</v>
      </c>
      <c r="D703" s="4">
        <v>1582</v>
      </c>
      <c r="E703" s="2">
        <v>644.36</v>
      </c>
      <c r="G703" s="9">
        <v>0</v>
      </c>
      <c r="H703" s="9"/>
      <c r="J703" s="10" t="s">
        <v>7</v>
      </c>
      <c r="K703" s="10"/>
      <c r="L703" s="10"/>
      <c r="M703" s="10"/>
      <c r="N703" t="str">
        <f>IFERROR(VLOOKUP(D703, Fornecedores!A:B, 2, FALSE), "")</f>
        <v>LUIZ RICARDO PEREIRA MORAIS COMERCIO</v>
      </c>
    </row>
    <row r="704" spans="1:14" ht="11.85" customHeight="1" x14ac:dyDescent="0.2">
      <c r="A704" s="8">
        <v>46265</v>
      </c>
      <c r="B704" s="8"/>
      <c r="C704" s="7">
        <v>2105</v>
      </c>
      <c r="D704" s="4">
        <v>1610</v>
      </c>
      <c r="E704" s="2">
        <v>530</v>
      </c>
      <c r="G704" s="9">
        <v>0</v>
      </c>
      <c r="H704" s="9"/>
      <c r="J704" s="10" t="s">
        <v>7</v>
      </c>
      <c r="K704" s="10"/>
      <c r="L704" s="10"/>
      <c r="M704" s="10"/>
      <c r="N704" t="str">
        <f>IFERROR(VLOOKUP(D704, Fornecedores!A:B, 2, FALSE), "")</f>
        <v>SANTA ROSA DISTRIBUIDORA DE CIMENTOS LTDA - ME</v>
      </c>
    </row>
    <row r="705" spans="1:14" ht="11.85" customHeight="1" x14ac:dyDescent="0.2">
      <c r="A705" s="8">
        <v>46265</v>
      </c>
      <c r="B705" s="8"/>
      <c r="C705" s="7">
        <v>1688</v>
      </c>
      <c r="D705" s="4">
        <v>2231</v>
      </c>
      <c r="E705" s="2">
        <v>1596</v>
      </c>
      <c r="G705" s="9">
        <v>0</v>
      </c>
      <c r="H705" s="9"/>
      <c r="J705" s="10" t="s">
        <v>7</v>
      </c>
      <c r="K705" s="10"/>
      <c r="L705" s="10"/>
      <c r="M705" s="10"/>
      <c r="N705" t="str">
        <f>IFERROR(VLOOKUP(D705, Fornecedores!A:B, 2, FALSE), "")</f>
        <v>65.916.110 DENISE PINTO SANTOS</v>
      </c>
    </row>
    <row r="706" spans="1:14" ht="11.85" customHeight="1" x14ac:dyDescent="0.2">
      <c r="A706" s="8">
        <v>46265</v>
      </c>
      <c r="B706" s="8"/>
      <c r="C706" s="7">
        <v>1688</v>
      </c>
      <c r="D706" s="4">
        <v>2231</v>
      </c>
      <c r="E706" s="2">
        <v>315</v>
      </c>
      <c r="G706" s="9">
        <v>0</v>
      </c>
      <c r="H706" s="9"/>
      <c r="J706" s="10" t="s">
        <v>7</v>
      </c>
      <c r="K706" s="10"/>
      <c r="L706" s="10"/>
      <c r="M706" s="10"/>
      <c r="N706" t="str">
        <f>IFERROR(VLOOKUP(D706, Fornecedores!A:B, 2, FALSE), "")</f>
        <v>65.916.110 DENISE PINTO SANTOS</v>
      </c>
    </row>
    <row r="707" spans="1:14" ht="11.85" customHeight="1" x14ac:dyDescent="0.2">
      <c r="A707" s="8">
        <v>46265</v>
      </c>
      <c r="B707" s="8"/>
      <c r="C707" s="7">
        <v>1638</v>
      </c>
      <c r="D707" s="4">
        <v>2237</v>
      </c>
      <c r="E707" s="2">
        <v>48425.85</v>
      </c>
      <c r="G707" s="9">
        <v>0</v>
      </c>
      <c r="H707" s="9"/>
      <c r="J707" s="10" t="s">
        <v>7</v>
      </c>
      <c r="K707" s="10"/>
      <c r="L707" s="10"/>
      <c r="M707" s="10"/>
      <c r="N707" t="str">
        <f>IFERROR(VLOOKUP(D707, Fornecedores!A:B, 2, FALSE), "")</f>
        <v>VIDRO PALMAS LTDA</v>
      </c>
    </row>
    <row r="708" spans="1:14" x14ac:dyDescent="0.2">
      <c r="D708" s="7"/>
    </row>
    <row r="709" spans="1:14" x14ac:dyDescent="0.2">
      <c r="D709" s="7"/>
    </row>
    <row r="710" spans="1:14" x14ac:dyDescent="0.2">
      <c r="D710" s="7"/>
    </row>
  </sheetData>
  <autoFilter ref="A5:N707">
    <filterColumn colId="0" showButton="0"/>
    <filterColumn colId="6" showButton="0"/>
    <filterColumn colId="8" showButton="0"/>
    <filterColumn colId="9" showButton="0"/>
    <filterColumn colId="10" showButton="0"/>
  </autoFilter>
  <mergeCells count="2112">
    <mergeCell ref="A4:M4"/>
    <mergeCell ref="I5:L5"/>
    <mergeCell ref="A5:B5"/>
    <mergeCell ref="G5:H5"/>
    <mergeCell ref="A1:J1"/>
    <mergeCell ref="A2:D2"/>
    <mergeCell ref="A11:B11"/>
    <mergeCell ref="G11:H11"/>
    <mergeCell ref="J11:M11"/>
    <mergeCell ref="A10:B10"/>
    <mergeCell ref="G10:H10"/>
    <mergeCell ref="J10:M10"/>
    <mergeCell ref="A9:B9"/>
    <mergeCell ref="G9:H9"/>
    <mergeCell ref="J9:M9"/>
    <mergeCell ref="A8:B8"/>
    <mergeCell ref="G8:H8"/>
    <mergeCell ref="J8:M8"/>
    <mergeCell ref="A7:B7"/>
    <mergeCell ref="G7:H7"/>
    <mergeCell ref="J7:M7"/>
    <mergeCell ref="A6:B6"/>
    <mergeCell ref="G6:H6"/>
    <mergeCell ref="J6:M6"/>
    <mergeCell ref="A17:B17"/>
    <mergeCell ref="G17:H17"/>
    <mergeCell ref="J17:M17"/>
    <mergeCell ref="A16:B16"/>
    <mergeCell ref="G16:H16"/>
    <mergeCell ref="J16:M16"/>
    <mergeCell ref="A15:B15"/>
    <mergeCell ref="G15:H15"/>
    <mergeCell ref="J15:M15"/>
    <mergeCell ref="A14:B14"/>
    <mergeCell ref="G14:H14"/>
    <mergeCell ref="J14:M14"/>
    <mergeCell ref="A13:B13"/>
    <mergeCell ref="G13:H13"/>
    <mergeCell ref="J13:M13"/>
    <mergeCell ref="A12:B12"/>
    <mergeCell ref="G12:H12"/>
    <mergeCell ref="J12:M12"/>
    <mergeCell ref="A23:B23"/>
    <mergeCell ref="G23:H23"/>
    <mergeCell ref="J23:M23"/>
    <mergeCell ref="A22:B22"/>
    <mergeCell ref="G22:H22"/>
    <mergeCell ref="J22:M22"/>
    <mergeCell ref="A21:B21"/>
    <mergeCell ref="G21:H21"/>
    <mergeCell ref="J21:M21"/>
    <mergeCell ref="A20:B20"/>
    <mergeCell ref="G20:H20"/>
    <mergeCell ref="J20:M20"/>
    <mergeCell ref="A19:B19"/>
    <mergeCell ref="G19:H19"/>
    <mergeCell ref="J19:M19"/>
    <mergeCell ref="A18:B18"/>
    <mergeCell ref="G18:H18"/>
    <mergeCell ref="J18:M18"/>
    <mergeCell ref="A29:B29"/>
    <mergeCell ref="G29:H29"/>
    <mergeCell ref="J29:M29"/>
    <mergeCell ref="A28:B28"/>
    <mergeCell ref="G28:H28"/>
    <mergeCell ref="J28:M28"/>
    <mergeCell ref="A27:B27"/>
    <mergeCell ref="G27:H27"/>
    <mergeCell ref="J27:M27"/>
    <mergeCell ref="A26:B26"/>
    <mergeCell ref="G26:H26"/>
    <mergeCell ref="J26:M26"/>
    <mergeCell ref="A25:B25"/>
    <mergeCell ref="G25:H25"/>
    <mergeCell ref="J25:M25"/>
    <mergeCell ref="A24:B24"/>
    <mergeCell ref="G24:H24"/>
    <mergeCell ref="J24:M24"/>
    <mergeCell ref="A35:B35"/>
    <mergeCell ref="G35:H35"/>
    <mergeCell ref="J35:M35"/>
    <mergeCell ref="A34:B34"/>
    <mergeCell ref="G34:H34"/>
    <mergeCell ref="J34:M34"/>
    <mergeCell ref="A33:B33"/>
    <mergeCell ref="G33:H33"/>
    <mergeCell ref="J33:M33"/>
    <mergeCell ref="A32:B32"/>
    <mergeCell ref="G32:H32"/>
    <mergeCell ref="J32:M32"/>
    <mergeCell ref="A31:B31"/>
    <mergeCell ref="G31:H31"/>
    <mergeCell ref="J31:M31"/>
    <mergeCell ref="A30:B30"/>
    <mergeCell ref="G30:H30"/>
    <mergeCell ref="J30:M30"/>
    <mergeCell ref="A41:B41"/>
    <mergeCell ref="G41:H41"/>
    <mergeCell ref="J41:M41"/>
    <mergeCell ref="A40:B40"/>
    <mergeCell ref="G40:H40"/>
    <mergeCell ref="J40:M40"/>
    <mergeCell ref="A39:B39"/>
    <mergeCell ref="G39:H39"/>
    <mergeCell ref="J39:M39"/>
    <mergeCell ref="A38:B38"/>
    <mergeCell ref="G38:H38"/>
    <mergeCell ref="J38:M38"/>
    <mergeCell ref="A37:B37"/>
    <mergeCell ref="G37:H37"/>
    <mergeCell ref="J37:M37"/>
    <mergeCell ref="A36:B36"/>
    <mergeCell ref="G36:H36"/>
    <mergeCell ref="J36:M36"/>
    <mergeCell ref="A47:B47"/>
    <mergeCell ref="G47:H47"/>
    <mergeCell ref="J47:M47"/>
    <mergeCell ref="A46:B46"/>
    <mergeCell ref="G46:H46"/>
    <mergeCell ref="J46:M46"/>
    <mergeCell ref="A45:B45"/>
    <mergeCell ref="G45:H45"/>
    <mergeCell ref="J45:M45"/>
    <mergeCell ref="A44:B44"/>
    <mergeCell ref="G44:H44"/>
    <mergeCell ref="J44:M44"/>
    <mergeCell ref="A43:B43"/>
    <mergeCell ref="G43:H43"/>
    <mergeCell ref="J43:M43"/>
    <mergeCell ref="A42:B42"/>
    <mergeCell ref="G42:H42"/>
    <mergeCell ref="J42:M42"/>
    <mergeCell ref="A53:B53"/>
    <mergeCell ref="G53:H53"/>
    <mergeCell ref="J53:M53"/>
    <mergeCell ref="A52:B52"/>
    <mergeCell ref="G52:H52"/>
    <mergeCell ref="J52:M52"/>
    <mergeCell ref="A51:B51"/>
    <mergeCell ref="G51:H51"/>
    <mergeCell ref="J51:M51"/>
    <mergeCell ref="A50:B50"/>
    <mergeCell ref="G50:H50"/>
    <mergeCell ref="J50:M50"/>
    <mergeCell ref="A49:B49"/>
    <mergeCell ref="G49:H49"/>
    <mergeCell ref="J49:M49"/>
    <mergeCell ref="A48:B48"/>
    <mergeCell ref="G48:H48"/>
    <mergeCell ref="J48:M48"/>
    <mergeCell ref="A59:B59"/>
    <mergeCell ref="G59:H59"/>
    <mergeCell ref="J59:M59"/>
    <mergeCell ref="A58:B58"/>
    <mergeCell ref="G58:H58"/>
    <mergeCell ref="J58:M58"/>
    <mergeCell ref="A57:B57"/>
    <mergeCell ref="G57:H57"/>
    <mergeCell ref="J57:M57"/>
    <mergeCell ref="A56:B56"/>
    <mergeCell ref="G56:H56"/>
    <mergeCell ref="J56:M56"/>
    <mergeCell ref="A55:B55"/>
    <mergeCell ref="G55:H55"/>
    <mergeCell ref="J55:M55"/>
    <mergeCell ref="A54:B54"/>
    <mergeCell ref="G54:H54"/>
    <mergeCell ref="J54:M54"/>
    <mergeCell ref="A65:B65"/>
    <mergeCell ref="G65:H65"/>
    <mergeCell ref="J65:M65"/>
    <mergeCell ref="A64:B64"/>
    <mergeCell ref="G64:H64"/>
    <mergeCell ref="J64:M64"/>
    <mergeCell ref="A63:B63"/>
    <mergeCell ref="G63:H63"/>
    <mergeCell ref="J63:M63"/>
    <mergeCell ref="A62:B62"/>
    <mergeCell ref="G62:H62"/>
    <mergeCell ref="J62:M62"/>
    <mergeCell ref="A61:B61"/>
    <mergeCell ref="G61:H61"/>
    <mergeCell ref="J61:M61"/>
    <mergeCell ref="A60:B60"/>
    <mergeCell ref="G60:H60"/>
    <mergeCell ref="J60:M60"/>
    <mergeCell ref="A71:B71"/>
    <mergeCell ref="G71:H71"/>
    <mergeCell ref="J71:M71"/>
    <mergeCell ref="A70:B70"/>
    <mergeCell ref="G70:H70"/>
    <mergeCell ref="J70:M70"/>
    <mergeCell ref="A69:B69"/>
    <mergeCell ref="G69:H69"/>
    <mergeCell ref="J69:M69"/>
    <mergeCell ref="A68:B68"/>
    <mergeCell ref="G68:H68"/>
    <mergeCell ref="J68:M68"/>
    <mergeCell ref="A67:B67"/>
    <mergeCell ref="G67:H67"/>
    <mergeCell ref="J67:M67"/>
    <mergeCell ref="A66:B66"/>
    <mergeCell ref="G66:H66"/>
    <mergeCell ref="J66:M66"/>
    <mergeCell ref="A77:B77"/>
    <mergeCell ref="G77:H77"/>
    <mergeCell ref="J77:M77"/>
    <mergeCell ref="A76:B76"/>
    <mergeCell ref="G76:H76"/>
    <mergeCell ref="J76:M76"/>
    <mergeCell ref="A75:B75"/>
    <mergeCell ref="G75:H75"/>
    <mergeCell ref="J75:M75"/>
    <mergeCell ref="A74:B74"/>
    <mergeCell ref="G74:H74"/>
    <mergeCell ref="J74:M74"/>
    <mergeCell ref="A73:B73"/>
    <mergeCell ref="G73:H73"/>
    <mergeCell ref="J73:M73"/>
    <mergeCell ref="A72:B72"/>
    <mergeCell ref="G72:H72"/>
    <mergeCell ref="J72:M72"/>
    <mergeCell ref="A83:B83"/>
    <mergeCell ref="G83:H83"/>
    <mergeCell ref="J83:M83"/>
    <mergeCell ref="A82:B82"/>
    <mergeCell ref="G82:H82"/>
    <mergeCell ref="J82:M82"/>
    <mergeCell ref="A81:B81"/>
    <mergeCell ref="G81:H81"/>
    <mergeCell ref="J81:M81"/>
    <mergeCell ref="A80:B80"/>
    <mergeCell ref="G80:H80"/>
    <mergeCell ref="J80:M80"/>
    <mergeCell ref="A79:B79"/>
    <mergeCell ref="G79:H79"/>
    <mergeCell ref="J79:M79"/>
    <mergeCell ref="A78:B78"/>
    <mergeCell ref="G78:H78"/>
    <mergeCell ref="J78:M78"/>
    <mergeCell ref="A89:B89"/>
    <mergeCell ref="G89:H89"/>
    <mergeCell ref="J89:M89"/>
    <mergeCell ref="A88:B88"/>
    <mergeCell ref="G88:H88"/>
    <mergeCell ref="J88:M88"/>
    <mergeCell ref="A87:B87"/>
    <mergeCell ref="G87:H87"/>
    <mergeCell ref="J87:M87"/>
    <mergeCell ref="A86:B86"/>
    <mergeCell ref="G86:H86"/>
    <mergeCell ref="J86:M86"/>
    <mergeCell ref="A85:B85"/>
    <mergeCell ref="G85:H85"/>
    <mergeCell ref="J85:M85"/>
    <mergeCell ref="A84:B84"/>
    <mergeCell ref="G84:H84"/>
    <mergeCell ref="J84:M84"/>
    <mergeCell ref="A95:B95"/>
    <mergeCell ref="G95:H95"/>
    <mergeCell ref="J95:M95"/>
    <mergeCell ref="A94:B94"/>
    <mergeCell ref="G94:H94"/>
    <mergeCell ref="J94:M94"/>
    <mergeCell ref="A93:B93"/>
    <mergeCell ref="G93:H93"/>
    <mergeCell ref="J93:M93"/>
    <mergeCell ref="A92:B92"/>
    <mergeCell ref="G92:H92"/>
    <mergeCell ref="J92:M92"/>
    <mergeCell ref="A91:B91"/>
    <mergeCell ref="G91:H91"/>
    <mergeCell ref="J91:M91"/>
    <mergeCell ref="A90:B90"/>
    <mergeCell ref="G90:H90"/>
    <mergeCell ref="J90:M90"/>
    <mergeCell ref="A101:B101"/>
    <mergeCell ref="G101:H101"/>
    <mergeCell ref="J101:M101"/>
    <mergeCell ref="A100:B100"/>
    <mergeCell ref="G100:H100"/>
    <mergeCell ref="J100:M100"/>
    <mergeCell ref="A99:B99"/>
    <mergeCell ref="G99:H99"/>
    <mergeCell ref="J99:M99"/>
    <mergeCell ref="A98:B98"/>
    <mergeCell ref="G98:H98"/>
    <mergeCell ref="J98:M98"/>
    <mergeCell ref="A97:B97"/>
    <mergeCell ref="G97:H97"/>
    <mergeCell ref="J97:M97"/>
    <mergeCell ref="A96:B96"/>
    <mergeCell ref="G96:H96"/>
    <mergeCell ref="J96:M96"/>
    <mergeCell ref="A107:B107"/>
    <mergeCell ref="G107:H107"/>
    <mergeCell ref="J107:M107"/>
    <mergeCell ref="A106:B106"/>
    <mergeCell ref="G106:H106"/>
    <mergeCell ref="J106:M106"/>
    <mergeCell ref="A105:B105"/>
    <mergeCell ref="G105:H105"/>
    <mergeCell ref="J105:M105"/>
    <mergeCell ref="A104:B104"/>
    <mergeCell ref="G104:H104"/>
    <mergeCell ref="J104:M104"/>
    <mergeCell ref="A103:B103"/>
    <mergeCell ref="G103:H103"/>
    <mergeCell ref="J103:M103"/>
    <mergeCell ref="A102:B102"/>
    <mergeCell ref="G102:H102"/>
    <mergeCell ref="J102:M102"/>
    <mergeCell ref="A113:B113"/>
    <mergeCell ref="G113:H113"/>
    <mergeCell ref="J113:M113"/>
    <mergeCell ref="A112:B112"/>
    <mergeCell ref="G112:H112"/>
    <mergeCell ref="J112:M112"/>
    <mergeCell ref="A111:B111"/>
    <mergeCell ref="G111:H111"/>
    <mergeCell ref="J111:M111"/>
    <mergeCell ref="A110:B110"/>
    <mergeCell ref="G110:H110"/>
    <mergeCell ref="J110:M110"/>
    <mergeCell ref="A109:B109"/>
    <mergeCell ref="G109:H109"/>
    <mergeCell ref="J109:M109"/>
    <mergeCell ref="A108:B108"/>
    <mergeCell ref="G108:H108"/>
    <mergeCell ref="J108:M108"/>
    <mergeCell ref="A119:B119"/>
    <mergeCell ref="G119:H119"/>
    <mergeCell ref="J119:M119"/>
    <mergeCell ref="A118:B118"/>
    <mergeCell ref="G118:H118"/>
    <mergeCell ref="J118:M118"/>
    <mergeCell ref="A117:B117"/>
    <mergeCell ref="G117:H117"/>
    <mergeCell ref="J117:M117"/>
    <mergeCell ref="A116:B116"/>
    <mergeCell ref="G116:H116"/>
    <mergeCell ref="J116:M116"/>
    <mergeCell ref="A115:B115"/>
    <mergeCell ref="G115:H115"/>
    <mergeCell ref="J115:M115"/>
    <mergeCell ref="A114:B114"/>
    <mergeCell ref="G114:H114"/>
    <mergeCell ref="J114:M114"/>
    <mergeCell ref="A125:B125"/>
    <mergeCell ref="G125:H125"/>
    <mergeCell ref="J125:M125"/>
    <mergeCell ref="A124:B124"/>
    <mergeCell ref="G124:H124"/>
    <mergeCell ref="J124:M124"/>
    <mergeCell ref="A123:B123"/>
    <mergeCell ref="G123:H123"/>
    <mergeCell ref="J123:M123"/>
    <mergeCell ref="A122:B122"/>
    <mergeCell ref="G122:H122"/>
    <mergeCell ref="J122:M122"/>
    <mergeCell ref="A121:B121"/>
    <mergeCell ref="G121:H121"/>
    <mergeCell ref="J121:M121"/>
    <mergeCell ref="A120:B120"/>
    <mergeCell ref="G120:H120"/>
    <mergeCell ref="J120:M120"/>
    <mergeCell ref="A131:B131"/>
    <mergeCell ref="G131:H131"/>
    <mergeCell ref="J131:M131"/>
    <mergeCell ref="A130:B130"/>
    <mergeCell ref="G130:H130"/>
    <mergeCell ref="J130:M130"/>
    <mergeCell ref="A129:B129"/>
    <mergeCell ref="G129:H129"/>
    <mergeCell ref="J129:M129"/>
    <mergeCell ref="A128:B128"/>
    <mergeCell ref="G128:H128"/>
    <mergeCell ref="J128:M128"/>
    <mergeCell ref="A127:B127"/>
    <mergeCell ref="G127:H127"/>
    <mergeCell ref="J127:M127"/>
    <mergeCell ref="A126:B126"/>
    <mergeCell ref="G126:H126"/>
    <mergeCell ref="J126:M126"/>
    <mergeCell ref="A137:B137"/>
    <mergeCell ref="G137:H137"/>
    <mergeCell ref="J137:M137"/>
    <mergeCell ref="A136:B136"/>
    <mergeCell ref="G136:H136"/>
    <mergeCell ref="J136:M136"/>
    <mergeCell ref="A135:B135"/>
    <mergeCell ref="G135:H135"/>
    <mergeCell ref="J135:M135"/>
    <mergeCell ref="A134:B134"/>
    <mergeCell ref="G134:H134"/>
    <mergeCell ref="J134:M134"/>
    <mergeCell ref="A133:B133"/>
    <mergeCell ref="G133:H133"/>
    <mergeCell ref="J133:M133"/>
    <mergeCell ref="A132:B132"/>
    <mergeCell ref="G132:H132"/>
    <mergeCell ref="J132:M132"/>
    <mergeCell ref="A143:B143"/>
    <mergeCell ref="G143:H143"/>
    <mergeCell ref="J143:M143"/>
    <mergeCell ref="A142:B142"/>
    <mergeCell ref="G142:H142"/>
    <mergeCell ref="J142:M142"/>
    <mergeCell ref="A141:B141"/>
    <mergeCell ref="G141:H141"/>
    <mergeCell ref="J141:M141"/>
    <mergeCell ref="A140:B140"/>
    <mergeCell ref="G140:H140"/>
    <mergeCell ref="J140:M140"/>
    <mergeCell ref="A139:B139"/>
    <mergeCell ref="G139:H139"/>
    <mergeCell ref="J139:M139"/>
    <mergeCell ref="A138:B138"/>
    <mergeCell ref="G138:H138"/>
    <mergeCell ref="J138:M138"/>
    <mergeCell ref="A149:B149"/>
    <mergeCell ref="G149:H149"/>
    <mergeCell ref="J149:M149"/>
    <mergeCell ref="A148:B148"/>
    <mergeCell ref="G148:H148"/>
    <mergeCell ref="J148:M148"/>
    <mergeCell ref="A147:B147"/>
    <mergeCell ref="G147:H147"/>
    <mergeCell ref="J147:M147"/>
    <mergeCell ref="A146:B146"/>
    <mergeCell ref="G146:H146"/>
    <mergeCell ref="J146:M146"/>
    <mergeCell ref="A145:B145"/>
    <mergeCell ref="G145:H145"/>
    <mergeCell ref="J145:M145"/>
    <mergeCell ref="A144:B144"/>
    <mergeCell ref="G144:H144"/>
    <mergeCell ref="J144:M144"/>
    <mergeCell ref="A155:B155"/>
    <mergeCell ref="G155:H155"/>
    <mergeCell ref="J155:M155"/>
    <mergeCell ref="A154:B154"/>
    <mergeCell ref="G154:H154"/>
    <mergeCell ref="J154:M154"/>
    <mergeCell ref="A153:B153"/>
    <mergeCell ref="G153:H153"/>
    <mergeCell ref="J153:M153"/>
    <mergeCell ref="A152:B152"/>
    <mergeCell ref="G152:H152"/>
    <mergeCell ref="J152:M152"/>
    <mergeCell ref="A151:B151"/>
    <mergeCell ref="G151:H151"/>
    <mergeCell ref="J151:M151"/>
    <mergeCell ref="A150:B150"/>
    <mergeCell ref="G150:H150"/>
    <mergeCell ref="J150:M150"/>
    <mergeCell ref="A161:B161"/>
    <mergeCell ref="G161:H161"/>
    <mergeCell ref="J161:M161"/>
    <mergeCell ref="A160:B160"/>
    <mergeCell ref="G160:H160"/>
    <mergeCell ref="J160:M160"/>
    <mergeCell ref="A159:B159"/>
    <mergeCell ref="G159:H159"/>
    <mergeCell ref="J159:M159"/>
    <mergeCell ref="A158:B158"/>
    <mergeCell ref="G158:H158"/>
    <mergeCell ref="J158:M158"/>
    <mergeCell ref="A157:B157"/>
    <mergeCell ref="G157:H157"/>
    <mergeCell ref="J157:M157"/>
    <mergeCell ref="A156:B156"/>
    <mergeCell ref="G156:H156"/>
    <mergeCell ref="J156:M156"/>
    <mergeCell ref="A167:B167"/>
    <mergeCell ref="G167:H167"/>
    <mergeCell ref="J167:M167"/>
    <mergeCell ref="A166:B166"/>
    <mergeCell ref="G166:H166"/>
    <mergeCell ref="J166:M166"/>
    <mergeCell ref="A165:B165"/>
    <mergeCell ref="G165:H165"/>
    <mergeCell ref="J165:M165"/>
    <mergeCell ref="A164:B164"/>
    <mergeCell ref="G164:H164"/>
    <mergeCell ref="J164:M164"/>
    <mergeCell ref="A163:B163"/>
    <mergeCell ref="G163:H163"/>
    <mergeCell ref="J163:M163"/>
    <mergeCell ref="A162:B162"/>
    <mergeCell ref="G162:H162"/>
    <mergeCell ref="J162:M162"/>
    <mergeCell ref="A173:B173"/>
    <mergeCell ref="G173:H173"/>
    <mergeCell ref="J173:M173"/>
    <mergeCell ref="A172:B172"/>
    <mergeCell ref="G172:H172"/>
    <mergeCell ref="J172:M172"/>
    <mergeCell ref="A171:B171"/>
    <mergeCell ref="G171:H171"/>
    <mergeCell ref="J171:M171"/>
    <mergeCell ref="A170:B170"/>
    <mergeCell ref="G170:H170"/>
    <mergeCell ref="J170:M170"/>
    <mergeCell ref="A169:B169"/>
    <mergeCell ref="G169:H169"/>
    <mergeCell ref="J169:M169"/>
    <mergeCell ref="A168:B168"/>
    <mergeCell ref="G168:H168"/>
    <mergeCell ref="J168:M168"/>
    <mergeCell ref="A179:B179"/>
    <mergeCell ref="G179:H179"/>
    <mergeCell ref="J179:M179"/>
    <mergeCell ref="A178:B178"/>
    <mergeCell ref="G178:H178"/>
    <mergeCell ref="J178:M178"/>
    <mergeCell ref="A177:B177"/>
    <mergeCell ref="G177:H177"/>
    <mergeCell ref="J177:M177"/>
    <mergeCell ref="A176:B176"/>
    <mergeCell ref="G176:H176"/>
    <mergeCell ref="J176:M176"/>
    <mergeCell ref="A175:B175"/>
    <mergeCell ref="G175:H175"/>
    <mergeCell ref="J175:M175"/>
    <mergeCell ref="A174:B174"/>
    <mergeCell ref="G174:H174"/>
    <mergeCell ref="J174:M174"/>
    <mergeCell ref="A185:B185"/>
    <mergeCell ref="G185:H185"/>
    <mergeCell ref="J185:M185"/>
    <mergeCell ref="A184:B184"/>
    <mergeCell ref="G184:H184"/>
    <mergeCell ref="J184:M184"/>
    <mergeCell ref="A183:B183"/>
    <mergeCell ref="G183:H183"/>
    <mergeCell ref="J183:M183"/>
    <mergeCell ref="A182:B182"/>
    <mergeCell ref="G182:H182"/>
    <mergeCell ref="J182:M182"/>
    <mergeCell ref="A181:B181"/>
    <mergeCell ref="G181:H181"/>
    <mergeCell ref="J181:M181"/>
    <mergeCell ref="A180:B180"/>
    <mergeCell ref="G180:H180"/>
    <mergeCell ref="J180:M180"/>
    <mergeCell ref="A191:B191"/>
    <mergeCell ref="G191:H191"/>
    <mergeCell ref="J191:M191"/>
    <mergeCell ref="A190:B190"/>
    <mergeCell ref="G190:H190"/>
    <mergeCell ref="J190:M190"/>
    <mergeCell ref="A189:B189"/>
    <mergeCell ref="G189:H189"/>
    <mergeCell ref="J189:M189"/>
    <mergeCell ref="A188:B188"/>
    <mergeCell ref="G188:H188"/>
    <mergeCell ref="J188:M188"/>
    <mergeCell ref="A187:B187"/>
    <mergeCell ref="G187:H187"/>
    <mergeCell ref="J187:M187"/>
    <mergeCell ref="A186:B186"/>
    <mergeCell ref="G186:H186"/>
    <mergeCell ref="J186:M186"/>
    <mergeCell ref="A197:B197"/>
    <mergeCell ref="G197:H197"/>
    <mergeCell ref="J197:M197"/>
    <mergeCell ref="A196:B196"/>
    <mergeCell ref="G196:H196"/>
    <mergeCell ref="J196:M196"/>
    <mergeCell ref="A195:B195"/>
    <mergeCell ref="G195:H195"/>
    <mergeCell ref="J195:M195"/>
    <mergeCell ref="A194:B194"/>
    <mergeCell ref="G194:H194"/>
    <mergeCell ref="J194:M194"/>
    <mergeCell ref="A193:B193"/>
    <mergeCell ref="G193:H193"/>
    <mergeCell ref="J193:M193"/>
    <mergeCell ref="A192:B192"/>
    <mergeCell ref="G192:H192"/>
    <mergeCell ref="J192:M192"/>
    <mergeCell ref="A203:B203"/>
    <mergeCell ref="G203:H203"/>
    <mergeCell ref="J203:M203"/>
    <mergeCell ref="A202:B202"/>
    <mergeCell ref="G202:H202"/>
    <mergeCell ref="J202:M202"/>
    <mergeCell ref="A201:B201"/>
    <mergeCell ref="G201:H201"/>
    <mergeCell ref="J201:M201"/>
    <mergeCell ref="A200:B200"/>
    <mergeCell ref="G200:H200"/>
    <mergeCell ref="J200:M200"/>
    <mergeCell ref="A199:B199"/>
    <mergeCell ref="G199:H199"/>
    <mergeCell ref="J199:M199"/>
    <mergeCell ref="A198:B198"/>
    <mergeCell ref="G198:H198"/>
    <mergeCell ref="J198:M198"/>
    <mergeCell ref="A209:B209"/>
    <mergeCell ref="G209:H209"/>
    <mergeCell ref="J209:M209"/>
    <mergeCell ref="A208:B208"/>
    <mergeCell ref="G208:H208"/>
    <mergeCell ref="J208:M208"/>
    <mergeCell ref="A207:B207"/>
    <mergeCell ref="G207:H207"/>
    <mergeCell ref="J207:M207"/>
    <mergeCell ref="A206:B206"/>
    <mergeCell ref="G206:H206"/>
    <mergeCell ref="J206:M206"/>
    <mergeCell ref="A205:B205"/>
    <mergeCell ref="G205:H205"/>
    <mergeCell ref="J205:M205"/>
    <mergeCell ref="A204:B204"/>
    <mergeCell ref="G204:H204"/>
    <mergeCell ref="J204:M204"/>
    <mergeCell ref="A215:B215"/>
    <mergeCell ref="G215:H215"/>
    <mergeCell ref="J215:M215"/>
    <mergeCell ref="A214:B214"/>
    <mergeCell ref="G214:H214"/>
    <mergeCell ref="J214:M214"/>
    <mergeCell ref="A213:B213"/>
    <mergeCell ref="G213:H213"/>
    <mergeCell ref="J213:M213"/>
    <mergeCell ref="A212:B212"/>
    <mergeCell ref="G212:H212"/>
    <mergeCell ref="J212:M212"/>
    <mergeCell ref="A211:B211"/>
    <mergeCell ref="G211:H211"/>
    <mergeCell ref="J211:M211"/>
    <mergeCell ref="A210:B210"/>
    <mergeCell ref="G210:H210"/>
    <mergeCell ref="J210:M210"/>
    <mergeCell ref="A221:B221"/>
    <mergeCell ref="G221:H221"/>
    <mergeCell ref="J221:M221"/>
    <mergeCell ref="A220:B220"/>
    <mergeCell ref="G220:H220"/>
    <mergeCell ref="J220:M220"/>
    <mergeCell ref="A219:B219"/>
    <mergeCell ref="G219:H219"/>
    <mergeCell ref="J219:M219"/>
    <mergeCell ref="A218:B218"/>
    <mergeCell ref="G218:H218"/>
    <mergeCell ref="J218:M218"/>
    <mergeCell ref="A217:B217"/>
    <mergeCell ref="G217:H217"/>
    <mergeCell ref="J217:M217"/>
    <mergeCell ref="A216:B216"/>
    <mergeCell ref="G216:H216"/>
    <mergeCell ref="J216:M216"/>
    <mergeCell ref="A227:B227"/>
    <mergeCell ref="G227:H227"/>
    <mergeCell ref="J227:M227"/>
    <mergeCell ref="A226:B226"/>
    <mergeCell ref="G226:H226"/>
    <mergeCell ref="J226:M226"/>
    <mergeCell ref="A225:B225"/>
    <mergeCell ref="G225:H225"/>
    <mergeCell ref="J225:M225"/>
    <mergeCell ref="A224:B224"/>
    <mergeCell ref="G224:H224"/>
    <mergeCell ref="J224:M224"/>
    <mergeCell ref="A223:B223"/>
    <mergeCell ref="G223:H223"/>
    <mergeCell ref="J223:M223"/>
    <mergeCell ref="A222:B222"/>
    <mergeCell ref="G222:H222"/>
    <mergeCell ref="J222:M222"/>
    <mergeCell ref="A233:B233"/>
    <mergeCell ref="G233:H233"/>
    <mergeCell ref="J233:M233"/>
    <mergeCell ref="A232:B232"/>
    <mergeCell ref="G232:H232"/>
    <mergeCell ref="J232:M232"/>
    <mergeCell ref="A231:B231"/>
    <mergeCell ref="G231:H231"/>
    <mergeCell ref="J231:M231"/>
    <mergeCell ref="A230:B230"/>
    <mergeCell ref="G230:H230"/>
    <mergeCell ref="J230:M230"/>
    <mergeCell ref="A229:B229"/>
    <mergeCell ref="G229:H229"/>
    <mergeCell ref="J229:M229"/>
    <mergeCell ref="A228:B228"/>
    <mergeCell ref="G228:H228"/>
    <mergeCell ref="J228:M228"/>
    <mergeCell ref="A239:B239"/>
    <mergeCell ref="G239:H239"/>
    <mergeCell ref="J239:M239"/>
    <mergeCell ref="A238:B238"/>
    <mergeCell ref="G238:H238"/>
    <mergeCell ref="J238:M238"/>
    <mergeCell ref="A237:B237"/>
    <mergeCell ref="G237:H237"/>
    <mergeCell ref="J237:M237"/>
    <mergeCell ref="A236:B236"/>
    <mergeCell ref="G236:H236"/>
    <mergeCell ref="J236:M236"/>
    <mergeCell ref="A235:B235"/>
    <mergeCell ref="G235:H235"/>
    <mergeCell ref="J235:M235"/>
    <mergeCell ref="A234:B234"/>
    <mergeCell ref="G234:H234"/>
    <mergeCell ref="J234:M234"/>
    <mergeCell ref="A245:B245"/>
    <mergeCell ref="G245:H245"/>
    <mergeCell ref="J245:M245"/>
    <mergeCell ref="A244:B244"/>
    <mergeCell ref="G244:H244"/>
    <mergeCell ref="J244:M244"/>
    <mergeCell ref="A243:B243"/>
    <mergeCell ref="G243:H243"/>
    <mergeCell ref="J243:M243"/>
    <mergeCell ref="A242:B242"/>
    <mergeCell ref="G242:H242"/>
    <mergeCell ref="J242:M242"/>
    <mergeCell ref="A241:B241"/>
    <mergeCell ref="G241:H241"/>
    <mergeCell ref="J241:M241"/>
    <mergeCell ref="A240:B240"/>
    <mergeCell ref="G240:H240"/>
    <mergeCell ref="J240:M240"/>
    <mergeCell ref="A251:B251"/>
    <mergeCell ref="G251:H251"/>
    <mergeCell ref="J251:M251"/>
    <mergeCell ref="A250:B250"/>
    <mergeCell ref="G250:H250"/>
    <mergeCell ref="J250:M250"/>
    <mergeCell ref="A249:B249"/>
    <mergeCell ref="G249:H249"/>
    <mergeCell ref="J249:M249"/>
    <mergeCell ref="A248:B248"/>
    <mergeCell ref="G248:H248"/>
    <mergeCell ref="J248:M248"/>
    <mergeCell ref="A247:B247"/>
    <mergeCell ref="G247:H247"/>
    <mergeCell ref="J247:M247"/>
    <mergeCell ref="A246:B246"/>
    <mergeCell ref="G246:H246"/>
    <mergeCell ref="J246:M246"/>
    <mergeCell ref="A257:B257"/>
    <mergeCell ref="G257:H257"/>
    <mergeCell ref="J257:M257"/>
    <mergeCell ref="A256:B256"/>
    <mergeCell ref="G256:H256"/>
    <mergeCell ref="J256:M256"/>
    <mergeCell ref="A255:B255"/>
    <mergeCell ref="G255:H255"/>
    <mergeCell ref="J255:M255"/>
    <mergeCell ref="A254:B254"/>
    <mergeCell ref="G254:H254"/>
    <mergeCell ref="J254:M254"/>
    <mergeCell ref="A253:B253"/>
    <mergeCell ref="G253:H253"/>
    <mergeCell ref="J253:M253"/>
    <mergeCell ref="A252:B252"/>
    <mergeCell ref="G252:H252"/>
    <mergeCell ref="J252:M252"/>
    <mergeCell ref="A263:B263"/>
    <mergeCell ref="G263:H263"/>
    <mergeCell ref="J263:M263"/>
    <mergeCell ref="A262:B262"/>
    <mergeCell ref="G262:H262"/>
    <mergeCell ref="J262:M262"/>
    <mergeCell ref="A261:B261"/>
    <mergeCell ref="G261:H261"/>
    <mergeCell ref="J261:M261"/>
    <mergeCell ref="A260:B260"/>
    <mergeCell ref="G260:H260"/>
    <mergeCell ref="J260:M260"/>
    <mergeCell ref="A259:B259"/>
    <mergeCell ref="G259:H259"/>
    <mergeCell ref="J259:M259"/>
    <mergeCell ref="A258:B258"/>
    <mergeCell ref="G258:H258"/>
    <mergeCell ref="J258:M258"/>
    <mergeCell ref="A269:B269"/>
    <mergeCell ref="G269:H269"/>
    <mergeCell ref="J269:M269"/>
    <mergeCell ref="A268:B268"/>
    <mergeCell ref="G268:H268"/>
    <mergeCell ref="J268:M268"/>
    <mergeCell ref="A267:B267"/>
    <mergeCell ref="G267:H267"/>
    <mergeCell ref="J267:M267"/>
    <mergeCell ref="A266:B266"/>
    <mergeCell ref="G266:H266"/>
    <mergeCell ref="J266:M266"/>
    <mergeCell ref="A265:B265"/>
    <mergeCell ref="G265:H265"/>
    <mergeCell ref="J265:M265"/>
    <mergeCell ref="A264:B264"/>
    <mergeCell ref="G264:H264"/>
    <mergeCell ref="J264:M264"/>
    <mergeCell ref="A275:B275"/>
    <mergeCell ref="G275:H275"/>
    <mergeCell ref="J275:M275"/>
    <mergeCell ref="A274:B274"/>
    <mergeCell ref="G274:H274"/>
    <mergeCell ref="J274:M274"/>
    <mergeCell ref="A273:B273"/>
    <mergeCell ref="G273:H273"/>
    <mergeCell ref="J273:M273"/>
    <mergeCell ref="A272:B272"/>
    <mergeCell ref="G272:H272"/>
    <mergeCell ref="J272:M272"/>
    <mergeCell ref="A271:B271"/>
    <mergeCell ref="G271:H271"/>
    <mergeCell ref="J271:M271"/>
    <mergeCell ref="A270:B270"/>
    <mergeCell ref="G270:H270"/>
    <mergeCell ref="J270:M270"/>
    <mergeCell ref="A281:B281"/>
    <mergeCell ref="G281:H281"/>
    <mergeCell ref="J281:M281"/>
    <mergeCell ref="A280:B280"/>
    <mergeCell ref="G280:H280"/>
    <mergeCell ref="J280:M280"/>
    <mergeCell ref="A279:B279"/>
    <mergeCell ref="G279:H279"/>
    <mergeCell ref="J279:M279"/>
    <mergeCell ref="A278:B278"/>
    <mergeCell ref="G278:H278"/>
    <mergeCell ref="J278:M278"/>
    <mergeCell ref="A277:B277"/>
    <mergeCell ref="G277:H277"/>
    <mergeCell ref="J277:M277"/>
    <mergeCell ref="A276:B276"/>
    <mergeCell ref="G276:H276"/>
    <mergeCell ref="J276:M276"/>
    <mergeCell ref="A287:B287"/>
    <mergeCell ref="G287:H287"/>
    <mergeCell ref="J287:M287"/>
    <mergeCell ref="A286:B286"/>
    <mergeCell ref="G286:H286"/>
    <mergeCell ref="J286:M286"/>
    <mergeCell ref="A285:B285"/>
    <mergeCell ref="G285:H285"/>
    <mergeCell ref="J285:M285"/>
    <mergeCell ref="A284:B284"/>
    <mergeCell ref="G284:H284"/>
    <mergeCell ref="J284:M284"/>
    <mergeCell ref="A283:B283"/>
    <mergeCell ref="G283:H283"/>
    <mergeCell ref="J283:M283"/>
    <mergeCell ref="A282:B282"/>
    <mergeCell ref="G282:H282"/>
    <mergeCell ref="J282:M282"/>
    <mergeCell ref="A293:B293"/>
    <mergeCell ref="G293:H293"/>
    <mergeCell ref="J293:M293"/>
    <mergeCell ref="A292:B292"/>
    <mergeCell ref="G292:H292"/>
    <mergeCell ref="J292:M292"/>
    <mergeCell ref="A291:B291"/>
    <mergeCell ref="G291:H291"/>
    <mergeCell ref="J291:M291"/>
    <mergeCell ref="A290:B290"/>
    <mergeCell ref="G290:H290"/>
    <mergeCell ref="J290:M290"/>
    <mergeCell ref="A289:B289"/>
    <mergeCell ref="G289:H289"/>
    <mergeCell ref="J289:M289"/>
    <mergeCell ref="A288:B288"/>
    <mergeCell ref="G288:H288"/>
    <mergeCell ref="J288:M288"/>
    <mergeCell ref="A299:B299"/>
    <mergeCell ref="G299:H299"/>
    <mergeCell ref="J299:M299"/>
    <mergeCell ref="A298:B298"/>
    <mergeCell ref="G298:H298"/>
    <mergeCell ref="J298:M298"/>
    <mergeCell ref="A297:B297"/>
    <mergeCell ref="G297:H297"/>
    <mergeCell ref="J297:M297"/>
    <mergeCell ref="A296:B296"/>
    <mergeCell ref="G296:H296"/>
    <mergeCell ref="J296:M296"/>
    <mergeCell ref="A295:B295"/>
    <mergeCell ref="G295:H295"/>
    <mergeCell ref="J295:M295"/>
    <mergeCell ref="A294:B294"/>
    <mergeCell ref="G294:H294"/>
    <mergeCell ref="J294:M294"/>
    <mergeCell ref="A305:B305"/>
    <mergeCell ref="G305:H305"/>
    <mergeCell ref="J305:M305"/>
    <mergeCell ref="A304:B304"/>
    <mergeCell ref="G304:H304"/>
    <mergeCell ref="J304:M304"/>
    <mergeCell ref="A303:B303"/>
    <mergeCell ref="G303:H303"/>
    <mergeCell ref="J303:M303"/>
    <mergeCell ref="A302:B302"/>
    <mergeCell ref="G302:H302"/>
    <mergeCell ref="J302:M302"/>
    <mergeCell ref="A301:B301"/>
    <mergeCell ref="G301:H301"/>
    <mergeCell ref="J301:M301"/>
    <mergeCell ref="A300:B300"/>
    <mergeCell ref="G300:H300"/>
    <mergeCell ref="J300:M300"/>
    <mergeCell ref="A311:B311"/>
    <mergeCell ref="G311:H311"/>
    <mergeCell ref="J311:M311"/>
    <mergeCell ref="A310:B310"/>
    <mergeCell ref="G310:H310"/>
    <mergeCell ref="J310:M310"/>
    <mergeCell ref="A309:B309"/>
    <mergeCell ref="G309:H309"/>
    <mergeCell ref="J309:M309"/>
    <mergeCell ref="A308:B308"/>
    <mergeCell ref="G308:H308"/>
    <mergeCell ref="J308:M308"/>
    <mergeCell ref="A307:B307"/>
    <mergeCell ref="G307:H307"/>
    <mergeCell ref="J307:M307"/>
    <mergeCell ref="A306:B306"/>
    <mergeCell ref="G306:H306"/>
    <mergeCell ref="J306:M306"/>
    <mergeCell ref="A317:B317"/>
    <mergeCell ref="G317:H317"/>
    <mergeCell ref="J317:M317"/>
    <mergeCell ref="A316:B316"/>
    <mergeCell ref="G316:H316"/>
    <mergeCell ref="J316:M316"/>
    <mergeCell ref="A315:B315"/>
    <mergeCell ref="G315:H315"/>
    <mergeCell ref="J315:M315"/>
    <mergeCell ref="A314:B314"/>
    <mergeCell ref="G314:H314"/>
    <mergeCell ref="J314:M314"/>
    <mergeCell ref="A313:B313"/>
    <mergeCell ref="G313:H313"/>
    <mergeCell ref="J313:M313"/>
    <mergeCell ref="A312:B312"/>
    <mergeCell ref="G312:H312"/>
    <mergeCell ref="J312:M312"/>
    <mergeCell ref="A323:B323"/>
    <mergeCell ref="G323:H323"/>
    <mergeCell ref="J323:M323"/>
    <mergeCell ref="A322:B322"/>
    <mergeCell ref="G322:H322"/>
    <mergeCell ref="J322:M322"/>
    <mergeCell ref="A321:B321"/>
    <mergeCell ref="G321:H321"/>
    <mergeCell ref="J321:M321"/>
    <mergeCell ref="A320:B320"/>
    <mergeCell ref="G320:H320"/>
    <mergeCell ref="J320:M320"/>
    <mergeCell ref="A319:B319"/>
    <mergeCell ref="G319:H319"/>
    <mergeCell ref="J319:M319"/>
    <mergeCell ref="A318:B318"/>
    <mergeCell ref="G318:H318"/>
    <mergeCell ref="J318:M318"/>
    <mergeCell ref="A329:B329"/>
    <mergeCell ref="G329:H329"/>
    <mergeCell ref="J329:M329"/>
    <mergeCell ref="A328:B328"/>
    <mergeCell ref="G328:H328"/>
    <mergeCell ref="J328:M328"/>
    <mergeCell ref="A327:B327"/>
    <mergeCell ref="G327:H327"/>
    <mergeCell ref="J327:M327"/>
    <mergeCell ref="A326:B326"/>
    <mergeCell ref="G326:H326"/>
    <mergeCell ref="J326:M326"/>
    <mergeCell ref="A325:B325"/>
    <mergeCell ref="G325:H325"/>
    <mergeCell ref="J325:M325"/>
    <mergeCell ref="A324:B324"/>
    <mergeCell ref="G324:H324"/>
    <mergeCell ref="J324:M324"/>
    <mergeCell ref="A335:B335"/>
    <mergeCell ref="G335:H335"/>
    <mergeCell ref="J335:M335"/>
    <mergeCell ref="A334:B334"/>
    <mergeCell ref="G334:H334"/>
    <mergeCell ref="J334:M334"/>
    <mergeCell ref="A333:B333"/>
    <mergeCell ref="G333:H333"/>
    <mergeCell ref="J333:M333"/>
    <mergeCell ref="A332:B332"/>
    <mergeCell ref="G332:H332"/>
    <mergeCell ref="J332:M332"/>
    <mergeCell ref="A331:B331"/>
    <mergeCell ref="G331:H331"/>
    <mergeCell ref="J331:M331"/>
    <mergeCell ref="A330:B330"/>
    <mergeCell ref="G330:H330"/>
    <mergeCell ref="J330:M330"/>
    <mergeCell ref="A341:B341"/>
    <mergeCell ref="G341:H341"/>
    <mergeCell ref="J341:M341"/>
    <mergeCell ref="A340:B340"/>
    <mergeCell ref="G340:H340"/>
    <mergeCell ref="J340:M340"/>
    <mergeCell ref="A339:B339"/>
    <mergeCell ref="G339:H339"/>
    <mergeCell ref="J339:M339"/>
    <mergeCell ref="A338:B338"/>
    <mergeCell ref="G338:H338"/>
    <mergeCell ref="J338:M338"/>
    <mergeCell ref="A337:B337"/>
    <mergeCell ref="G337:H337"/>
    <mergeCell ref="J337:M337"/>
    <mergeCell ref="A336:B336"/>
    <mergeCell ref="G336:H336"/>
    <mergeCell ref="J336:M336"/>
    <mergeCell ref="A347:B347"/>
    <mergeCell ref="G347:H347"/>
    <mergeCell ref="J347:M347"/>
    <mergeCell ref="A346:B346"/>
    <mergeCell ref="G346:H346"/>
    <mergeCell ref="J346:M346"/>
    <mergeCell ref="A345:B345"/>
    <mergeCell ref="G345:H345"/>
    <mergeCell ref="J345:M345"/>
    <mergeCell ref="A344:B344"/>
    <mergeCell ref="G344:H344"/>
    <mergeCell ref="J344:M344"/>
    <mergeCell ref="A343:B343"/>
    <mergeCell ref="G343:H343"/>
    <mergeCell ref="J343:M343"/>
    <mergeCell ref="A342:B342"/>
    <mergeCell ref="G342:H342"/>
    <mergeCell ref="J342:M342"/>
    <mergeCell ref="A353:B353"/>
    <mergeCell ref="G353:H353"/>
    <mergeCell ref="J353:M353"/>
    <mergeCell ref="A352:B352"/>
    <mergeCell ref="G352:H352"/>
    <mergeCell ref="J352:M352"/>
    <mergeCell ref="A351:B351"/>
    <mergeCell ref="G351:H351"/>
    <mergeCell ref="J351:M351"/>
    <mergeCell ref="A350:B350"/>
    <mergeCell ref="G350:H350"/>
    <mergeCell ref="J350:M350"/>
    <mergeCell ref="A349:B349"/>
    <mergeCell ref="G349:H349"/>
    <mergeCell ref="J349:M349"/>
    <mergeCell ref="A348:B348"/>
    <mergeCell ref="G348:H348"/>
    <mergeCell ref="J348:M348"/>
    <mergeCell ref="A359:B359"/>
    <mergeCell ref="G359:H359"/>
    <mergeCell ref="J359:M359"/>
    <mergeCell ref="A358:B358"/>
    <mergeCell ref="G358:H358"/>
    <mergeCell ref="J358:M358"/>
    <mergeCell ref="A357:B357"/>
    <mergeCell ref="G357:H357"/>
    <mergeCell ref="J357:M357"/>
    <mergeCell ref="A356:B356"/>
    <mergeCell ref="G356:H356"/>
    <mergeCell ref="J356:M356"/>
    <mergeCell ref="A355:B355"/>
    <mergeCell ref="G355:H355"/>
    <mergeCell ref="J355:M355"/>
    <mergeCell ref="A354:B354"/>
    <mergeCell ref="G354:H354"/>
    <mergeCell ref="J354:M354"/>
    <mergeCell ref="A365:B365"/>
    <mergeCell ref="G365:H365"/>
    <mergeCell ref="J365:M365"/>
    <mergeCell ref="A364:B364"/>
    <mergeCell ref="G364:H364"/>
    <mergeCell ref="J364:M364"/>
    <mergeCell ref="A363:B363"/>
    <mergeCell ref="G363:H363"/>
    <mergeCell ref="J363:M363"/>
    <mergeCell ref="A362:B362"/>
    <mergeCell ref="G362:H362"/>
    <mergeCell ref="J362:M362"/>
    <mergeCell ref="A361:B361"/>
    <mergeCell ref="G361:H361"/>
    <mergeCell ref="J361:M361"/>
    <mergeCell ref="A360:B360"/>
    <mergeCell ref="G360:H360"/>
    <mergeCell ref="J360:M360"/>
    <mergeCell ref="A371:B371"/>
    <mergeCell ref="G371:H371"/>
    <mergeCell ref="J371:M371"/>
    <mergeCell ref="A370:B370"/>
    <mergeCell ref="G370:H370"/>
    <mergeCell ref="J370:M370"/>
    <mergeCell ref="A369:B369"/>
    <mergeCell ref="G369:H369"/>
    <mergeCell ref="J369:M369"/>
    <mergeCell ref="A368:B368"/>
    <mergeCell ref="G368:H368"/>
    <mergeCell ref="J368:M368"/>
    <mergeCell ref="A367:B367"/>
    <mergeCell ref="G367:H367"/>
    <mergeCell ref="J367:M367"/>
    <mergeCell ref="A366:B366"/>
    <mergeCell ref="G366:H366"/>
    <mergeCell ref="J366:M366"/>
    <mergeCell ref="A377:B377"/>
    <mergeCell ref="G377:H377"/>
    <mergeCell ref="J377:M377"/>
    <mergeCell ref="A376:B376"/>
    <mergeCell ref="G376:H376"/>
    <mergeCell ref="J376:M376"/>
    <mergeCell ref="A375:B375"/>
    <mergeCell ref="G375:H375"/>
    <mergeCell ref="J375:M375"/>
    <mergeCell ref="A374:B374"/>
    <mergeCell ref="G374:H374"/>
    <mergeCell ref="J374:M374"/>
    <mergeCell ref="A373:B373"/>
    <mergeCell ref="G373:H373"/>
    <mergeCell ref="J373:M373"/>
    <mergeCell ref="A372:B372"/>
    <mergeCell ref="G372:H372"/>
    <mergeCell ref="J372:M372"/>
    <mergeCell ref="A383:B383"/>
    <mergeCell ref="G383:H383"/>
    <mergeCell ref="J383:M383"/>
    <mergeCell ref="A382:B382"/>
    <mergeCell ref="G382:H382"/>
    <mergeCell ref="J382:M382"/>
    <mergeCell ref="A381:B381"/>
    <mergeCell ref="G381:H381"/>
    <mergeCell ref="J381:M381"/>
    <mergeCell ref="A380:B380"/>
    <mergeCell ref="G380:H380"/>
    <mergeCell ref="J380:M380"/>
    <mergeCell ref="A379:B379"/>
    <mergeCell ref="G379:H379"/>
    <mergeCell ref="J379:M379"/>
    <mergeCell ref="A378:B378"/>
    <mergeCell ref="G378:H378"/>
    <mergeCell ref="J378:M378"/>
    <mergeCell ref="A389:B389"/>
    <mergeCell ref="G389:H389"/>
    <mergeCell ref="J389:M389"/>
    <mergeCell ref="A388:B388"/>
    <mergeCell ref="G388:H388"/>
    <mergeCell ref="J388:M388"/>
    <mergeCell ref="A387:B387"/>
    <mergeCell ref="G387:H387"/>
    <mergeCell ref="J387:M387"/>
    <mergeCell ref="A386:B386"/>
    <mergeCell ref="G386:H386"/>
    <mergeCell ref="J386:M386"/>
    <mergeCell ref="A385:B385"/>
    <mergeCell ref="G385:H385"/>
    <mergeCell ref="J385:M385"/>
    <mergeCell ref="A384:B384"/>
    <mergeCell ref="G384:H384"/>
    <mergeCell ref="J384:M384"/>
    <mergeCell ref="A395:B395"/>
    <mergeCell ref="G395:H395"/>
    <mergeCell ref="J395:M395"/>
    <mergeCell ref="A394:B394"/>
    <mergeCell ref="G394:H394"/>
    <mergeCell ref="J394:M394"/>
    <mergeCell ref="A393:B393"/>
    <mergeCell ref="G393:H393"/>
    <mergeCell ref="J393:M393"/>
    <mergeCell ref="A392:B392"/>
    <mergeCell ref="G392:H392"/>
    <mergeCell ref="J392:M392"/>
    <mergeCell ref="A391:B391"/>
    <mergeCell ref="G391:H391"/>
    <mergeCell ref="J391:M391"/>
    <mergeCell ref="A390:B390"/>
    <mergeCell ref="G390:H390"/>
    <mergeCell ref="J390:M390"/>
    <mergeCell ref="A401:B401"/>
    <mergeCell ref="G401:H401"/>
    <mergeCell ref="J401:M401"/>
    <mergeCell ref="A400:B400"/>
    <mergeCell ref="G400:H400"/>
    <mergeCell ref="J400:M400"/>
    <mergeCell ref="A399:B399"/>
    <mergeCell ref="G399:H399"/>
    <mergeCell ref="J399:M399"/>
    <mergeCell ref="A398:B398"/>
    <mergeCell ref="G398:H398"/>
    <mergeCell ref="J398:M398"/>
    <mergeCell ref="A397:B397"/>
    <mergeCell ref="G397:H397"/>
    <mergeCell ref="J397:M397"/>
    <mergeCell ref="A396:B396"/>
    <mergeCell ref="G396:H396"/>
    <mergeCell ref="J396:M396"/>
    <mergeCell ref="A407:B407"/>
    <mergeCell ref="G407:H407"/>
    <mergeCell ref="J407:M407"/>
    <mergeCell ref="A406:B406"/>
    <mergeCell ref="G406:H406"/>
    <mergeCell ref="J406:M406"/>
    <mergeCell ref="A405:B405"/>
    <mergeCell ref="G405:H405"/>
    <mergeCell ref="J405:M405"/>
    <mergeCell ref="A404:B404"/>
    <mergeCell ref="G404:H404"/>
    <mergeCell ref="J404:M404"/>
    <mergeCell ref="A403:B403"/>
    <mergeCell ref="G403:H403"/>
    <mergeCell ref="J403:M403"/>
    <mergeCell ref="A402:B402"/>
    <mergeCell ref="G402:H402"/>
    <mergeCell ref="J402:M402"/>
    <mergeCell ref="A413:B413"/>
    <mergeCell ref="G413:H413"/>
    <mergeCell ref="J413:M413"/>
    <mergeCell ref="A412:B412"/>
    <mergeCell ref="G412:H412"/>
    <mergeCell ref="J412:M412"/>
    <mergeCell ref="A411:B411"/>
    <mergeCell ref="G411:H411"/>
    <mergeCell ref="J411:M411"/>
    <mergeCell ref="A410:B410"/>
    <mergeCell ref="G410:H410"/>
    <mergeCell ref="J410:M410"/>
    <mergeCell ref="A409:B409"/>
    <mergeCell ref="G409:H409"/>
    <mergeCell ref="J409:M409"/>
    <mergeCell ref="A408:B408"/>
    <mergeCell ref="G408:H408"/>
    <mergeCell ref="J408:M408"/>
    <mergeCell ref="A419:B419"/>
    <mergeCell ref="G419:H419"/>
    <mergeCell ref="J419:M419"/>
    <mergeCell ref="A418:B418"/>
    <mergeCell ref="G418:H418"/>
    <mergeCell ref="J418:M418"/>
    <mergeCell ref="A417:B417"/>
    <mergeCell ref="G417:H417"/>
    <mergeCell ref="J417:M417"/>
    <mergeCell ref="A416:B416"/>
    <mergeCell ref="G416:H416"/>
    <mergeCell ref="J416:M416"/>
    <mergeCell ref="A415:B415"/>
    <mergeCell ref="G415:H415"/>
    <mergeCell ref="J415:M415"/>
    <mergeCell ref="A414:B414"/>
    <mergeCell ref="G414:H414"/>
    <mergeCell ref="J414:M414"/>
    <mergeCell ref="A425:B425"/>
    <mergeCell ref="G425:H425"/>
    <mergeCell ref="J425:M425"/>
    <mergeCell ref="A424:B424"/>
    <mergeCell ref="G424:H424"/>
    <mergeCell ref="J424:M424"/>
    <mergeCell ref="A423:B423"/>
    <mergeCell ref="G423:H423"/>
    <mergeCell ref="J423:M423"/>
    <mergeCell ref="A422:B422"/>
    <mergeCell ref="G422:H422"/>
    <mergeCell ref="J422:M422"/>
    <mergeCell ref="A421:B421"/>
    <mergeCell ref="G421:H421"/>
    <mergeCell ref="J421:M421"/>
    <mergeCell ref="A420:B420"/>
    <mergeCell ref="G420:H420"/>
    <mergeCell ref="J420:M420"/>
    <mergeCell ref="A431:B431"/>
    <mergeCell ref="G431:H431"/>
    <mergeCell ref="J431:M431"/>
    <mergeCell ref="A430:B430"/>
    <mergeCell ref="G430:H430"/>
    <mergeCell ref="J430:M430"/>
    <mergeCell ref="A429:B429"/>
    <mergeCell ref="G429:H429"/>
    <mergeCell ref="J429:M429"/>
    <mergeCell ref="A428:B428"/>
    <mergeCell ref="G428:H428"/>
    <mergeCell ref="J428:M428"/>
    <mergeCell ref="A427:B427"/>
    <mergeCell ref="G427:H427"/>
    <mergeCell ref="J427:M427"/>
    <mergeCell ref="A426:B426"/>
    <mergeCell ref="G426:H426"/>
    <mergeCell ref="J426:M426"/>
    <mergeCell ref="A437:B437"/>
    <mergeCell ref="G437:H437"/>
    <mergeCell ref="J437:M437"/>
    <mergeCell ref="A436:B436"/>
    <mergeCell ref="G436:H436"/>
    <mergeCell ref="J436:M436"/>
    <mergeCell ref="A435:B435"/>
    <mergeCell ref="G435:H435"/>
    <mergeCell ref="J435:M435"/>
    <mergeCell ref="A434:B434"/>
    <mergeCell ref="G434:H434"/>
    <mergeCell ref="J434:M434"/>
    <mergeCell ref="A433:B433"/>
    <mergeCell ref="G433:H433"/>
    <mergeCell ref="J433:M433"/>
    <mergeCell ref="A432:B432"/>
    <mergeCell ref="G432:H432"/>
    <mergeCell ref="J432:M432"/>
    <mergeCell ref="A443:B443"/>
    <mergeCell ref="G443:H443"/>
    <mergeCell ref="J443:M443"/>
    <mergeCell ref="A442:B442"/>
    <mergeCell ref="G442:H442"/>
    <mergeCell ref="J442:M442"/>
    <mergeCell ref="A441:B441"/>
    <mergeCell ref="G441:H441"/>
    <mergeCell ref="J441:M441"/>
    <mergeCell ref="A440:B440"/>
    <mergeCell ref="G440:H440"/>
    <mergeCell ref="J440:M440"/>
    <mergeCell ref="A439:B439"/>
    <mergeCell ref="G439:H439"/>
    <mergeCell ref="J439:M439"/>
    <mergeCell ref="A438:B438"/>
    <mergeCell ref="G438:H438"/>
    <mergeCell ref="J438:M438"/>
    <mergeCell ref="A449:B449"/>
    <mergeCell ref="G449:H449"/>
    <mergeCell ref="J449:M449"/>
    <mergeCell ref="A448:B448"/>
    <mergeCell ref="G448:H448"/>
    <mergeCell ref="J448:M448"/>
    <mergeCell ref="A447:B447"/>
    <mergeCell ref="G447:H447"/>
    <mergeCell ref="J447:M447"/>
    <mergeCell ref="A446:B446"/>
    <mergeCell ref="G446:H446"/>
    <mergeCell ref="J446:M446"/>
    <mergeCell ref="A445:B445"/>
    <mergeCell ref="G445:H445"/>
    <mergeCell ref="J445:M445"/>
    <mergeCell ref="A444:B444"/>
    <mergeCell ref="G444:H444"/>
    <mergeCell ref="J444:M444"/>
    <mergeCell ref="A455:B455"/>
    <mergeCell ref="G455:H455"/>
    <mergeCell ref="J455:M455"/>
    <mergeCell ref="A454:B454"/>
    <mergeCell ref="G454:H454"/>
    <mergeCell ref="J454:M454"/>
    <mergeCell ref="A453:B453"/>
    <mergeCell ref="G453:H453"/>
    <mergeCell ref="J453:M453"/>
    <mergeCell ref="A452:B452"/>
    <mergeCell ref="G452:H452"/>
    <mergeCell ref="J452:M452"/>
    <mergeCell ref="A451:B451"/>
    <mergeCell ref="G451:H451"/>
    <mergeCell ref="J451:M451"/>
    <mergeCell ref="A450:B450"/>
    <mergeCell ref="G450:H450"/>
    <mergeCell ref="J450:M450"/>
    <mergeCell ref="A461:B461"/>
    <mergeCell ref="G461:H461"/>
    <mergeCell ref="J461:M461"/>
    <mergeCell ref="A460:B460"/>
    <mergeCell ref="G460:H460"/>
    <mergeCell ref="J460:M460"/>
    <mergeCell ref="A459:B459"/>
    <mergeCell ref="G459:H459"/>
    <mergeCell ref="J459:M459"/>
    <mergeCell ref="A458:B458"/>
    <mergeCell ref="G458:H458"/>
    <mergeCell ref="J458:M458"/>
    <mergeCell ref="A457:B457"/>
    <mergeCell ref="G457:H457"/>
    <mergeCell ref="J457:M457"/>
    <mergeCell ref="A456:B456"/>
    <mergeCell ref="G456:H456"/>
    <mergeCell ref="J456:M456"/>
    <mergeCell ref="A467:B467"/>
    <mergeCell ref="G467:H467"/>
    <mergeCell ref="J467:M467"/>
    <mergeCell ref="A466:B466"/>
    <mergeCell ref="G466:H466"/>
    <mergeCell ref="J466:M466"/>
    <mergeCell ref="A465:B465"/>
    <mergeCell ref="G465:H465"/>
    <mergeCell ref="J465:M465"/>
    <mergeCell ref="A464:B464"/>
    <mergeCell ref="G464:H464"/>
    <mergeCell ref="J464:M464"/>
    <mergeCell ref="A463:B463"/>
    <mergeCell ref="G463:H463"/>
    <mergeCell ref="J463:M463"/>
    <mergeCell ref="A462:B462"/>
    <mergeCell ref="G462:H462"/>
    <mergeCell ref="J462:M462"/>
    <mergeCell ref="A473:B473"/>
    <mergeCell ref="G473:H473"/>
    <mergeCell ref="J473:M473"/>
    <mergeCell ref="A472:B472"/>
    <mergeCell ref="G472:H472"/>
    <mergeCell ref="J472:M472"/>
    <mergeCell ref="A471:B471"/>
    <mergeCell ref="G471:H471"/>
    <mergeCell ref="J471:M471"/>
    <mergeCell ref="A470:B470"/>
    <mergeCell ref="G470:H470"/>
    <mergeCell ref="J470:M470"/>
    <mergeCell ref="A469:B469"/>
    <mergeCell ref="G469:H469"/>
    <mergeCell ref="J469:M469"/>
    <mergeCell ref="A468:B468"/>
    <mergeCell ref="G468:H468"/>
    <mergeCell ref="J468:M468"/>
    <mergeCell ref="A479:B479"/>
    <mergeCell ref="G479:H479"/>
    <mergeCell ref="J479:M479"/>
    <mergeCell ref="A478:B478"/>
    <mergeCell ref="G478:H478"/>
    <mergeCell ref="J478:M478"/>
    <mergeCell ref="A477:B477"/>
    <mergeCell ref="G477:H477"/>
    <mergeCell ref="J477:M477"/>
    <mergeCell ref="A476:B476"/>
    <mergeCell ref="G476:H476"/>
    <mergeCell ref="J476:M476"/>
    <mergeCell ref="A475:B475"/>
    <mergeCell ref="G475:H475"/>
    <mergeCell ref="J475:M475"/>
    <mergeCell ref="A474:B474"/>
    <mergeCell ref="G474:H474"/>
    <mergeCell ref="J474:M474"/>
    <mergeCell ref="A485:B485"/>
    <mergeCell ref="G485:H485"/>
    <mergeCell ref="J485:M485"/>
    <mergeCell ref="A484:B484"/>
    <mergeCell ref="G484:H484"/>
    <mergeCell ref="J484:M484"/>
    <mergeCell ref="A483:B483"/>
    <mergeCell ref="G483:H483"/>
    <mergeCell ref="J483:M483"/>
    <mergeCell ref="A482:B482"/>
    <mergeCell ref="G482:H482"/>
    <mergeCell ref="J482:M482"/>
    <mergeCell ref="A481:B481"/>
    <mergeCell ref="G481:H481"/>
    <mergeCell ref="J481:M481"/>
    <mergeCell ref="A480:B480"/>
    <mergeCell ref="G480:H480"/>
    <mergeCell ref="J480:M480"/>
    <mergeCell ref="A491:B491"/>
    <mergeCell ref="G491:H491"/>
    <mergeCell ref="J491:M491"/>
    <mergeCell ref="A490:B490"/>
    <mergeCell ref="G490:H490"/>
    <mergeCell ref="J490:M490"/>
    <mergeCell ref="A489:B489"/>
    <mergeCell ref="G489:H489"/>
    <mergeCell ref="J489:M489"/>
    <mergeCell ref="A488:B488"/>
    <mergeCell ref="G488:H488"/>
    <mergeCell ref="J488:M488"/>
    <mergeCell ref="A487:B487"/>
    <mergeCell ref="G487:H487"/>
    <mergeCell ref="J487:M487"/>
    <mergeCell ref="A486:B486"/>
    <mergeCell ref="G486:H486"/>
    <mergeCell ref="J486:M486"/>
    <mergeCell ref="A497:B497"/>
    <mergeCell ref="G497:H497"/>
    <mergeCell ref="J497:M497"/>
    <mergeCell ref="A496:B496"/>
    <mergeCell ref="G496:H496"/>
    <mergeCell ref="J496:M496"/>
    <mergeCell ref="A495:B495"/>
    <mergeCell ref="G495:H495"/>
    <mergeCell ref="J495:M495"/>
    <mergeCell ref="A494:B494"/>
    <mergeCell ref="G494:H494"/>
    <mergeCell ref="J494:M494"/>
    <mergeCell ref="A493:B493"/>
    <mergeCell ref="G493:H493"/>
    <mergeCell ref="J493:M493"/>
    <mergeCell ref="A492:B492"/>
    <mergeCell ref="G492:H492"/>
    <mergeCell ref="J492:M492"/>
    <mergeCell ref="A503:B503"/>
    <mergeCell ref="G503:H503"/>
    <mergeCell ref="J503:M503"/>
    <mergeCell ref="A502:B502"/>
    <mergeCell ref="G502:H502"/>
    <mergeCell ref="J502:M502"/>
    <mergeCell ref="A501:B501"/>
    <mergeCell ref="G501:H501"/>
    <mergeCell ref="J501:M501"/>
    <mergeCell ref="A500:B500"/>
    <mergeCell ref="G500:H500"/>
    <mergeCell ref="J500:M500"/>
    <mergeCell ref="A499:B499"/>
    <mergeCell ref="G499:H499"/>
    <mergeCell ref="J499:M499"/>
    <mergeCell ref="A498:B498"/>
    <mergeCell ref="G498:H498"/>
    <mergeCell ref="J498:M498"/>
    <mergeCell ref="A509:B509"/>
    <mergeCell ref="G509:H509"/>
    <mergeCell ref="J509:M509"/>
    <mergeCell ref="A508:B508"/>
    <mergeCell ref="G508:H508"/>
    <mergeCell ref="J508:M508"/>
    <mergeCell ref="A507:B507"/>
    <mergeCell ref="G507:H507"/>
    <mergeCell ref="J507:M507"/>
    <mergeCell ref="A506:B506"/>
    <mergeCell ref="G506:H506"/>
    <mergeCell ref="J506:M506"/>
    <mergeCell ref="A505:B505"/>
    <mergeCell ref="G505:H505"/>
    <mergeCell ref="J505:M505"/>
    <mergeCell ref="A504:B504"/>
    <mergeCell ref="G504:H504"/>
    <mergeCell ref="J504:M504"/>
    <mergeCell ref="A515:B515"/>
    <mergeCell ref="G515:H515"/>
    <mergeCell ref="J515:M515"/>
    <mergeCell ref="A514:B514"/>
    <mergeCell ref="G514:H514"/>
    <mergeCell ref="J514:M514"/>
    <mergeCell ref="A513:B513"/>
    <mergeCell ref="G513:H513"/>
    <mergeCell ref="J513:M513"/>
    <mergeCell ref="A512:B512"/>
    <mergeCell ref="G512:H512"/>
    <mergeCell ref="J512:M512"/>
    <mergeCell ref="A511:B511"/>
    <mergeCell ref="G511:H511"/>
    <mergeCell ref="J511:M511"/>
    <mergeCell ref="A510:B510"/>
    <mergeCell ref="G510:H510"/>
    <mergeCell ref="J510:M510"/>
    <mergeCell ref="A521:B521"/>
    <mergeCell ref="G521:H521"/>
    <mergeCell ref="J521:M521"/>
    <mergeCell ref="A520:B520"/>
    <mergeCell ref="G520:H520"/>
    <mergeCell ref="J520:M520"/>
    <mergeCell ref="A519:B519"/>
    <mergeCell ref="G519:H519"/>
    <mergeCell ref="J519:M519"/>
    <mergeCell ref="A518:B518"/>
    <mergeCell ref="G518:H518"/>
    <mergeCell ref="J518:M518"/>
    <mergeCell ref="A517:B517"/>
    <mergeCell ref="G517:H517"/>
    <mergeCell ref="J517:M517"/>
    <mergeCell ref="A516:B516"/>
    <mergeCell ref="G516:H516"/>
    <mergeCell ref="J516:M516"/>
    <mergeCell ref="A527:B527"/>
    <mergeCell ref="G527:H527"/>
    <mergeCell ref="J527:M527"/>
    <mergeCell ref="A526:B526"/>
    <mergeCell ref="G526:H526"/>
    <mergeCell ref="J526:M526"/>
    <mergeCell ref="A525:B525"/>
    <mergeCell ref="G525:H525"/>
    <mergeCell ref="J525:M525"/>
    <mergeCell ref="A524:B524"/>
    <mergeCell ref="G524:H524"/>
    <mergeCell ref="J524:M524"/>
    <mergeCell ref="A523:B523"/>
    <mergeCell ref="G523:H523"/>
    <mergeCell ref="J523:M523"/>
    <mergeCell ref="A522:B522"/>
    <mergeCell ref="G522:H522"/>
    <mergeCell ref="J522:M522"/>
    <mergeCell ref="A533:B533"/>
    <mergeCell ref="G533:H533"/>
    <mergeCell ref="J533:M533"/>
    <mergeCell ref="A532:B532"/>
    <mergeCell ref="G532:H532"/>
    <mergeCell ref="J532:M532"/>
    <mergeCell ref="A531:B531"/>
    <mergeCell ref="G531:H531"/>
    <mergeCell ref="J531:M531"/>
    <mergeCell ref="A530:B530"/>
    <mergeCell ref="G530:H530"/>
    <mergeCell ref="J530:M530"/>
    <mergeCell ref="A529:B529"/>
    <mergeCell ref="G529:H529"/>
    <mergeCell ref="J529:M529"/>
    <mergeCell ref="A528:B528"/>
    <mergeCell ref="G528:H528"/>
    <mergeCell ref="J528:M528"/>
    <mergeCell ref="A539:B539"/>
    <mergeCell ref="G539:H539"/>
    <mergeCell ref="J539:M539"/>
    <mergeCell ref="A538:B538"/>
    <mergeCell ref="G538:H538"/>
    <mergeCell ref="J538:M538"/>
    <mergeCell ref="A537:B537"/>
    <mergeCell ref="G537:H537"/>
    <mergeCell ref="J537:M537"/>
    <mergeCell ref="A536:B536"/>
    <mergeCell ref="G536:H536"/>
    <mergeCell ref="J536:M536"/>
    <mergeCell ref="A535:B535"/>
    <mergeCell ref="G535:H535"/>
    <mergeCell ref="J535:M535"/>
    <mergeCell ref="A534:B534"/>
    <mergeCell ref="G534:H534"/>
    <mergeCell ref="J534:M534"/>
    <mergeCell ref="A545:B545"/>
    <mergeCell ref="G545:H545"/>
    <mergeCell ref="J545:M545"/>
    <mergeCell ref="A544:B544"/>
    <mergeCell ref="G544:H544"/>
    <mergeCell ref="J544:M544"/>
    <mergeCell ref="A543:B543"/>
    <mergeCell ref="G543:H543"/>
    <mergeCell ref="J543:M543"/>
    <mergeCell ref="A542:B542"/>
    <mergeCell ref="G542:H542"/>
    <mergeCell ref="J542:M542"/>
    <mergeCell ref="A541:B541"/>
    <mergeCell ref="G541:H541"/>
    <mergeCell ref="J541:M541"/>
    <mergeCell ref="A540:B540"/>
    <mergeCell ref="G540:H540"/>
    <mergeCell ref="J540:M540"/>
    <mergeCell ref="A551:B551"/>
    <mergeCell ref="G551:H551"/>
    <mergeCell ref="J551:M551"/>
    <mergeCell ref="A550:B550"/>
    <mergeCell ref="G550:H550"/>
    <mergeCell ref="J550:M550"/>
    <mergeCell ref="A549:B549"/>
    <mergeCell ref="G549:H549"/>
    <mergeCell ref="J549:M549"/>
    <mergeCell ref="A548:B548"/>
    <mergeCell ref="G548:H548"/>
    <mergeCell ref="J548:M548"/>
    <mergeCell ref="A547:B547"/>
    <mergeCell ref="G547:H547"/>
    <mergeCell ref="J547:M547"/>
    <mergeCell ref="A546:B546"/>
    <mergeCell ref="G546:H546"/>
    <mergeCell ref="J546:M546"/>
    <mergeCell ref="A557:B557"/>
    <mergeCell ref="G557:H557"/>
    <mergeCell ref="J557:M557"/>
    <mergeCell ref="A556:B556"/>
    <mergeCell ref="G556:H556"/>
    <mergeCell ref="J556:M556"/>
    <mergeCell ref="A555:B555"/>
    <mergeCell ref="G555:H555"/>
    <mergeCell ref="J555:M555"/>
    <mergeCell ref="A554:B554"/>
    <mergeCell ref="G554:H554"/>
    <mergeCell ref="J554:M554"/>
    <mergeCell ref="A553:B553"/>
    <mergeCell ref="G553:H553"/>
    <mergeCell ref="J553:M553"/>
    <mergeCell ref="A552:B552"/>
    <mergeCell ref="G552:H552"/>
    <mergeCell ref="J552:M552"/>
    <mergeCell ref="A563:B563"/>
    <mergeCell ref="G563:H563"/>
    <mergeCell ref="J563:M563"/>
    <mergeCell ref="A562:B562"/>
    <mergeCell ref="G562:H562"/>
    <mergeCell ref="J562:M562"/>
    <mergeCell ref="A561:B561"/>
    <mergeCell ref="G561:H561"/>
    <mergeCell ref="J561:M561"/>
    <mergeCell ref="A560:B560"/>
    <mergeCell ref="G560:H560"/>
    <mergeCell ref="J560:M560"/>
    <mergeCell ref="A559:B559"/>
    <mergeCell ref="G559:H559"/>
    <mergeCell ref="J559:M559"/>
    <mergeCell ref="A558:B558"/>
    <mergeCell ref="G558:H558"/>
    <mergeCell ref="J558:M558"/>
    <mergeCell ref="A569:B569"/>
    <mergeCell ref="G569:H569"/>
    <mergeCell ref="J569:M569"/>
    <mergeCell ref="A568:B568"/>
    <mergeCell ref="G568:H568"/>
    <mergeCell ref="J568:M568"/>
    <mergeCell ref="A567:B567"/>
    <mergeCell ref="G567:H567"/>
    <mergeCell ref="J567:M567"/>
    <mergeCell ref="A566:B566"/>
    <mergeCell ref="G566:H566"/>
    <mergeCell ref="J566:M566"/>
    <mergeCell ref="A565:B565"/>
    <mergeCell ref="G565:H565"/>
    <mergeCell ref="J565:M565"/>
    <mergeCell ref="A564:B564"/>
    <mergeCell ref="G564:H564"/>
    <mergeCell ref="J564:M564"/>
    <mergeCell ref="A575:B575"/>
    <mergeCell ref="G575:H575"/>
    <mergeCell ref="J575:M575"/>
    <mergeCell ref="A574:B574"/>
    <mergeCell ref="G574:H574"/>
    <mergeCell ref="J574:M574"/>
    <mergeCell ref="A573:B573"/>
    <mergeCell ref="G573:H573"/>
    <mergeCell ref="J573:M573"/>
    <mergeCell ref="A572:B572"/>
    <mergeCell ref="G572:H572"/>
    <mergeCell ref="J572:M572"/>
    <mergeCell ref="A571:B571"/>
    <mergeCell ref="G571:H571"/>
    <mergeCell ref="J571:M571"/>
    <mergeCell ref="A570:B570"/>
    <mergeCell ref="G570:H570"/>
    <mergeCell ref="J570:M570"/>
    <mergeCell ref="A581:B581"/>
    <mergeCell ref="G581:H581"/>
    <mergeCell ref="J581:M581"/>
    <mergeCell ref="A580:B580"/>
    <mergeCell ref="G580:H580"/>
    <mergeCell ref="J580:M580"/>
    <mergeCell ref="A579:B579"/>
    <mergeCell ref="G579:H579"/>
    <mergeCell ref="J579:M579"/>
    <mergeCell ref="A578:B578"/>
    <mergeCell ref="G578:H578"/>
    <mergeCell ref="J578:M578"/>
    <mergeCell ref="A577:B577"/>
    <mergeCell ref="G577:H577"/>
    <mergeCell ref="J577:M577"/>
    <mergeCell ref="A576:B576"/>
    <mergeCell ref="G576:H576"/>
    <mergeCell ref="J576:M576"/>
    <mergeCell ref="A587:B587"/>
    <mergeCell ref="G587:H587"/>
    <mergeCell ref="J587:M587"/>
    <mergeCell ref="A586:B586"/>
    <mergeCell ref="G586:H586"/>
    <mergeCell ref="J586:M586"/>
    <mergeCell ref="A585:B585"/>
    <mergeCell ref="G585:H585"/>
    <mergeCell ref="J585:M585"/>
    <mergeCell ref="A584:B584"/>
    <mergeCell ref="G584:H584"/>
    <mergeCell ref="J584:M584"/>
    <mergeCell ref="A583:B583"/>
    <mergeCell ref="G583:H583"/>
    <mergeCell ref="J583:M583"/>
    <mergeCell ref="A582:B582"/>
    <mergeCell ref="G582:H582"/>
    <mergeCell ref="J582:M582"/>
    <mergeCell ref="A593:B593"/>
    <mergeCell ref="G593:H593"/>
    <mergeCell ref="J593:M593"/>
    <mergeCell ref="A592:B592"/>
    <mergeCell ref="G592:H592"/>
    <mergeCell ref="J592:M592"/>
    <mergeCell ref="A591:B591"/>
    <mergeCell ref="G591:H591"/>
    <mergeCell ref="J591:M591"/>
    <mergeCell ref="A590:B590"/>
    <mergeCell ref="G590:H590"/>
    <mergeCell ref="J590:M590"/>
    <mergeCell ref="A589:B589"/>
    <mergeCell ref="G589:H589"/>
    <mergeCell ref="J589:M589"/>
    <mergeCell ref="A588:B588"/>
    <mergeCell ref="G588:H588"/>
    <mergeCell ref="J588:M588"/>
    <mergeCell ref="A599:B599"/>
    <mergeCell ref="G599:H599"/>
    <mergeCell ref="J599:M599"/>
    <mergeCell ref="A598:B598"/>
    <mergeCell ref="G598:H598"/>
    <mergeCell ref="J598:M598"/>
    <mergeCell ref="A597:B597"/>
    <mergeCell ref="G597:H597"/>
    <mergeCell ref="J597:M597"/>
    <mergeCell ref="A596:B596"/>
    <mergeCell ref="G596:H596"/>
    <mergeCell ref="J596:M596"/>
    <mergeCell ref="A595:B595"/>
    <mergeCell ref="G595:H595"/>
    <mergeCell ref="J595:M595"/>
    <mergeCell ref="A594:B594"/>
    <mergeCell ref="G594:H594"/>
    <mergeCell ref="J594:M594"/>
    <mergeCell ref="A605:B605"/>
    <mergeCell ref="G605:H605"/>
    <mergeCell ref="J605:M605"/>
    <mergeCell ref="A604:B604"/>
    <mergeCell ref="G604:H604"/>
    <mergeCell ref="J604:M604"/>
    <mergeCell ref="A603:B603"/>
    <mergeCell ref="G603:H603"/>
    <mergeCell ref="J603:M603"/>
    <mergeCell ref="A602:B602"/>
    <mergeCell ref="G602:H602"/>
    <mergeCell ref="J602:M602"/>
    <mergeCell ref="A601:B601"/>
    <mergeCell ref="G601:H601"/>
    <mergeCell ref="J601:M601"/>
    <mergeCell ref="A600:B600"/>
    <mergeCell ref="G600:H600"/>
    <mergeCell ref="J600:M600"/>
    <mergeCell ref="A611:B611"/>
    <mergeCell ref="G611:H611"/>
    <mergeCell ref="J611:M611"/>
    <mergeCell ref="A610:B610"/>
    <mergeCell ref="G610:H610"/>
    <mergeCell ref="J610:M610"/>
    <mergeCell ref="A609:B609"/>
    <mergeCell ref="G609:H609"/>
    <mergeCell ref="J609:M609"/>
    <mergeCell ref="A608:B608"/>
    <mergeCell ref="G608:H608"/>
    <mergeCell ref="J608:M608"/>
    <mergeCell ref="A607:B607"/>
    <mergeCell ref="G607:H607"/>
    <mergeCell ref="J607:M607"/>
    <mergeCell ref="A606:B606"/>
    <mergeCell ref="G606:H606"/>
    <mergeCell ref="J606:M606"/>
    <mergeCell ref="A617:B617"/>
    <mergeCell ref="G617:H617"/>
    <mergeCell ref="J617:M617"/>
    <mergeCell ref="A616:B616"/>
    <mergeCell ref="G616:H616"/>
    <mergeCell ref="J616:M616"/>
    <mergeCell ref="A615:B615"/>
    <mergeCell ref="G615:H615"/>
    <mergeCell ref="J615:M615"/>
    <mergeCell ref="A614:B614"/>
    <mergeCell ref="G614:H614"/>
    <mergeCell ref="J614:M614"/>
    <mergeCell ref="A613:B613"/>
    <mergeCell ref="G613:H613"/>
    <mergeCell ref="J613:M613"/>
    <mergeCell ref="A612:B612"/>
    <mergeCell ref="G612:H612"/>
    <mergeCell ref="J612:M612"/>
    <mergeCell ref="A623:B623"/>
    <mergeCell ref="G623:H623"/>
    <mergeCell ref="J623:M623"/>
    <mergeCell ref="A622:B622"/>
    <mergeCell ref="G622:H622"/>
    <mergeCell ref="J622:M622"/>
    <mergeCell ref="A621:B621"/>
    <mergeCell ref="G621:H621"/>
    <mergeCell ref="J621:M621"/>
    <mergeCell ref="A620:B620"/>
    <mergeCell ref="G620:H620"/>
    <mergeCell ref="J620:M620"/>
    <mergeCell ref="A619:B619"/>
    <mergeCell ref="G619:H619"/>
    <mergeCell ref="J619:M619"/>
    <mergeCell ref="A618:B618"/>
    <mergeCell ref="G618:H618"/>
    <mergeCell ref="J618:M618"/>
    <mergeCell ref="A629:B629"/>
    <mergeCell ref="G629:H629"/>
    <mergeCell ref="J629:M629"/>
    <mergeCell ref="A628:B628"/>
    <mergeCell ref="G628:H628"/>
    <mergeCell ref="J628:M628"/>
    <mergeCell ref="A627:B627"/>
    <mergeCell ref="G627:H627"/>
    <mergeCell ref="J627:M627"/>
    <mergeCell ref="A626:B626"/>
    <mergeCell ref="G626:H626"/>
    <mergeCell ref="J626:M626"/>
    <mergeCell ref="A625:B625"/>
    <mergeCell ref="G625:H625"/>
    <mergeCell ref="J625:M625"/>
    <mergeCell ref="A624:B624"/>
    <mergeCell ref="G624:H624"/>
    <mergeCell ref="J624:M624"/>
    <mergeCell ref="A635:B635"/>
    <mergeCell ref="G635:H635"/>
    <mergeCell ref="J635:M635"/>
    <mergeCell ref="A634:B634"/>
    <mergeCell ref="G634:H634"/>
    <mergeCell ref="J634:M634"/>
    <mergeCell ref="A633:B633"/>
    <mergeCell ref="G633:H633"/>
    <mergeCell ref="J633:M633"/>
    <mergeCell ref="A632:B632"/>
    <mergeCell ref="G632:H632"/>
    <mergeCell ref="J632:M632"/>
    <mergeCell ref="A631:B631"/>
    <mergeCell ref="G631:H631"/>
    <mergeCell ref="J631:M631"/>
    <mergeCell ref="A630:B630"/>
    <mergeCell ref="G630:H630"/>
    <mergeCell ref="J630:M630"/>
    <mergeCell ref="A641:B641"/>
    <mergeCell ref="G641:H641"/>
    <mergeCell ref="J641:M641"/>
    <mergeCell ref="A640:B640"/>
    <mergeCell ref="G640:H640"/>
    <mergeCell ref="J640:M640"/>
    <mergeCell ref="A639:B639"/>
    <mergeCell ref="G639:H639"/>
    <mergeCell ref="J639:M639"/>
    <mergeCell ref="A638:B638"/>
    <mergeCell ref="G638:H638"/>
    <mergeCell ref="J638:M638"/>
    <mergeCell ref="A637:B637"/>
    <mergeCell ref="G637:H637"/>
    <mergeCell ref="J637:M637"/>
    <mergeCell ref="A636:B636"/>
    <mergeCell ref="G636:H636"/>
    <mergeCell ref="J636:M636"/>
    <mergeCell ref="A647:B647"/>
    <mergeCell ref="G647:H647"/>
    <mergeCell ref="J647:M647"/>
    <mergeCell ref="A646:B646"/>
    <mergeCell ref="G646:H646"/>
    <mergeCell ref="J646:M646"/>
    <mergeCell ref="A645:B645"/>
    <mergeCell ref="G645:H645"/>
    <mergeCell ref="J645:M645"/>
    <mergeCell ref="A644:B644"/>
    <mergeCell ref="G644:H644"/>
    <mergeCell ref="J644:M644"/>
    <mergeCell ref="A643:B643"/>
    <mergeCell ref="G643:H643"/>
    <mergeCell ref="J643:M643"/>
    <mergeCell ref="A642:B642"/>
    <mergeCell ref="G642:H642"/>
    <mergeCell ref="J642:M642"/>
    <mergeCell ref="A653:B653"/>
    <mergeCell ref="G653:H653"/>
    <mergeCell ref="J653:M653"/>
    <mergeCell ref="A652:B652"/>
    <mergeCell ref="G652:H652"/>
    <mergeCell ref="J652:M652"/>
    <mergeCell ref="A651:B651"/>
    <mergeCell ref="G651:H651"/>
    <mergeCell ref="J651:M651"/>
    <mergeCell ref="A650:B650"/>
    <mergeCell ref="G650:H650"/>
    <mergeCell ref="J650:M650"/>
    <mergeCell ref="A649:B649"/>
    <mergeCell ref="G649:H649"/>
    <mergeCell ref="J649:M649"/>
    <mergeCell ref="A648:B648"/>
    <mergeCell ref="G648:H648"/>
    <mergeCell ref="J648:M648"/>
    <mergeCell ref="A659:B659"/>
    <mergeCell ref="G659:H659"/>
    <mergeCell ref="J659:M659"/>
    <mergeCell ref="A658:B658"/>
    <mergeCell ref="G658:H658"/>
    <mergeCell ref="J658:M658"/>
    <mergeCell ref="A657:B657"/>
    <mergeCell ref="G657:H657"/>
    <mergeCell ref="J657:M657"/>
    <mergeCell ref="A656:B656"/>
    <mergeCell ref="G656:H656"/>
    <mergeCell ref="J656:M656"/>
    <mergeCell ref="A655:B655"/>
    <mergeCell ref="G655:H655"/>
    <mergeCell ref="J655:M655"/>
    <mergeCell ref="A654:B654"/>
    <mergeCell ref="G654:H654"/>
    <mergeCell ref="J654:M654"/>
    <mergeCell ref="A665:B665"/>
    <mergeCell ref="G665:H665"/>
    <mergeCell ref="J665:M665"/>
    <mergeCell ref="A664:B664"/>
    <mergeCell ref="G664:H664"/>
    <mergeCell ref="J664:M664"/>
    <mergeCell ref="A663:B663"/>
    <mergeCell ref="G663:H663"/>
    <mergeCell ref="J663:M663"/>
    <mergeCell ref="A662:B662"/>
    <mergeCell ref="G662:H662"/>
    <mergeCell ref="J662:M662"/>
    <mergeCell ref="A661:B661"/>
    <mergeCell ref="G661:H661"/>
    <mergeCell ref="J661:M661"/>
    <mergeCell ref="A660:B660"/>
    <mergeCell ref="G660:H660"/>
    <mergeCell ref="J660:M660"/>
    <mergeCell ref="A671:B671"/>
    <mergeCell ref="G671:H671"/>
    <mergeCell ref="J671:M671"/>
    <mergeCell ref="A670:B670"/>
    <mergeCell ref="G670:H670"/>
    <mergeCell ref="J670:M670"/>
    <mergeCell ref="A669:B669"/>
    <mergeCell ref="G669:H669"/>
    <mergeCell ref="J669:M669"/>
    <mergeCell ref="A668:B668"/>
    <mergeCell ref="G668:H668"/>
    <mergeCell ref="J668:M668"/>
    <mergeCell ref="A667:B667"/>
    <mergeCell ref="G667:H667"/>
    <mergeCell ref="J667:M667"/>
    <mergeCell ref="A666:B666"/>
    <mergeCell ref="G666:H666"/>
    <mergeCell ref="J666:M666"/>
    <mergeCell ref="A677:B677"/>
    <mergeCell ref="G677:H677"/>
    <mergeCell ref="J677:M677"/>
    <mergeCell ref="A676:B676"/>
    <mergeCell ref="G676:H676"/>
    <mergeCell ref="J676:M676"/>
    <mergeCell ref="A675:B675"/>
    <mergeCell ref="G675:H675"/>
    <mergeCell ref="J675:M675"/>
    <mergeCell ref="A674:B674"/>
    <mergeCell ref="G674:H674"/>
    <mergeCell ref="J674:M674"/>
    <mergeCell ref="A673:B673"/>
    <mergeCell ref="G673:H673"/>
    <mergeCell ref="J673:M673"/>
    <mergeCell ref="A672:B672"/>
    <mergeCell ref="G672:H672"/>
    <mergeCell ref="J672:M672"/>
    <mergeCell ref="A683:B683"/>
    <mergeCell ref="G683:H683"/>
    <mergeCell ref="J683:M683"/>
    <mergeCell ref="A682:B682"/>
    <mergeCell ref="G682:H682"/>
    <mergeCell ref="J682:M682"/>
    <mergeCell ref="A681:B681"/>
    <mergeCell ref="G681:H681"/>
    <mergeCell ref="J681:M681"/>
    <mergeCell ref="A680:B680"/>
    <mergeCell ref="G680:H680"/>
    <mergeCell ref="J680:M680"/>
    <mergeCell ref="A679:B679"/>
    <mergeCell ref="G679:H679"/>
    <mergeCell ref="J679:M679"/>
    <mergeCell ref="A678:B678"/>
    <mergeCell ref="G678:H678"/>
    <mergeCell ref="J678:M678"/>
    <mergeCell ref="A689:B689"/>
    <mergeCell ref="G689:H689"/>
    <mergeCell ref="J689:M689"/>
    <mergeCell ref="A688:B688"/>
    <mergeCell ref="G688:H688"/>
    <mergeCell ref="J688:M688"/>
    <mergeCell ref="A687:B687"/>
    <mergeCell ref="G687:H687"/>
    <mergeCell ref="J687:M687"/>
    <mergeCell ref="A686:B686"/>
    <mergeCell ref="G686:H686"/>
    <mergeCell ref="J686:M686"/>
    <mergeCell ref="A685:B685"/>
    <mergeCell ref="G685:H685"/>
    <mergeCell ref="J685:M685"/>
    <mergeCell ref="A684:B684"/>
    <mergeCell ref="G684:H684"/>
    <mergeCell ref="J684:M684"/>
    <mergeCell ref="A695:B695"/>
    <mergeCell ref="G695:H695"/>
    <mergeCell ref="J695:M695"/>
    <mergeCell ref="A694:B694"/>
    <mergeCell ref="G694:H694"/>
    <mergeCell ref="J694:M694"/>
    <mergeCell ref="A693:B693"/>
    <mergeCell ref="G693:H693"/>
    <mergeCell ref="J693:M693"/>
    <mergeCell ref="A692:B692"/>
    <mergeCell ref="G692:H692"/>
    <mergeCell ref="J692:M692"/>
    <mergeCell ref="A691:B691"/>
    <mergeCell ref="G691:H691"/>
    <mergeCell ref="J691:M691"/>
    <mergeCell ref="A690:B690"/>
    <mergeCell ref="G690:H690"/>
    <mergeCell ref="J690:M690"/>
    <mergeCell ref="A701:B701"/>
    <mergeCell ref="G701:H701"/>
    <mergeCell ref="J701:M701"/>
    <mergeCell ref="A700:B700"/>
    <mergeCell ref="G700:H700"/>
    <mergeCell ref="J700:M700"/>
    <mergeCell ref="A699:B699"/>
    <mergeCell ref="G699:H699"/>
    <mergeCell ref="J699:M699"/>
    <mergeCell ref="A698:B698"/>
    <mergeCell ref="G698:H698"/>
    <mergeCell ref="J698:M698"/>
    <mergeCell ref="A697:B697"/>
    <mergeCell ref="G697:H697"/>
    <mergeCell ref="J697:M697"/>
    <mergeCell ref="A696:B696"/>
    <mergeCell ref="G696:H696"/>
    <mergeCell ref="J696:M696"/>
    <mergeCell ref="A707:B707"/>
    <mergeCell ref="G707:H707"/>
    <mergeCell ref="J707:M707"/>
    <mergeCell ref="A706:B706"/>
    <mergeCell ref="G706:H706"/>
    <mergeCell ref="J706:M706"/>
    <mergeCell ref="A705:B705"/>
    <mergeCell ref="G705:H705"/>
    <mergeCell ref="J705:M705"/>
    <mergeCell ref="A704:B704"/>
    <mergeCell ref="G704:H704"/>
    <mergeCell ref="J704:M704"/>
    <mergeCell ref="A703:B703"/>
    <mergeCell ref="G703:H703"/>
    <mergeCell ref="J703:M703"/>
    <mergeCell ref="A702:B702"/>
    <mergeCell ref="G702:H702"/>
    <mergeCell ref="J702:M702"/>
  </mergeCells>
  <pageMargins left="0.75" right="0.78740157499999996" top="1" bottom="0.75" header="0.5" footer="0.5"/>
  <pageSetup paperSize="0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Fornecedores</vt:lpstr>
      <vt:lpstr>Lançamentos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2026-09-15T17:41:40Z</dcterms:created>
  <dcterms:modified xsi:type="dcterms:W3CDTF">2026-09-18T11:16:57Z</dcterms:modified>
</cp:coreProperties>
</file>